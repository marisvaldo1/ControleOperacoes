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80136150\Desktop\Investimentos\"/>
    </mc:Choice>
  </mc:AlternateContent>
  <xr:revisionPtr revIDLastSave="0" documentId="13_ncr:1_{815BD5A8-85E7-41D2-9817-D4A2EC4264D2}" xr6:coauthVersionLast="47" xr6:coauthVersionMax="47" xr10:uidLastSave="{00000000-0000-0000-0000-000000000000}"/>
  <bookViews>
    <workbookView xWindow="-28920" yWindow="-1020" windowWidth="29040" windowHeight="15840" tabRatio="899" activeTab="2" xr2:uid="{00000000-000D-0000-FFFF-FFFF00000000}"/>
  </bookViews>
  <sheets>
    <sheet name="Resultados" sheetId="1" r:id="rId1"/>
    <sheet name="0126" sheetId="48" r:id="rId2"/>
    <sheet name="BTC" sheetId="45" r:id="rId3"/>
    <sheet name="Call Longa" sheetId="3" r:id="rId4"/>
    <sheet name="0225" sheetId="42" r:id="rId5"/>
    <sheet name="Base" sheetId="7" r:id="rId6"/>
  </sheets>
  <functionGroups builtInGroupCount="19"/>
  <definedNames>
    <definedName name="_xlnm._FilterDatabase" localSheetId="2" hidden="1">BTC!$N$70:$Q$123</definedName>
    <definedName name="DadosExternos_1" localSheetId="5" hidden="1">Base!#REF!</definedName>
    <definedName name="ListaTick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26" i="45" l="1"/>
  <c r="O26" i="45"/>
  <c r="L26" i="45"/>
  <c r="K26" i="45"/>
  <c r="M26" i="45" s="1"/>
  <c r="G26" i="45"/>
  <c r="P25" i="45"/>
  <c r="O25" i="45"/>
  <c r="L25" i="45"/>
  <c r="M25" i="45" s="1"/>
  <c r="K25" i="45"/>
  <c r="G25" i="45"/>
  <c r="P24" i="45"/>
  <c r="O24" i="45"/>
  <c r="K24" i="45"/>
  <c r="M24" i="45" s="1"/>
  <c r="G24" i="45"/>
  <c r="P23" i="45"/>
  <c r="O23" i="45"/>
  <c r="K23" i="45"/>
  <c r="M23" i="45" s="1"/>
  <c r="G23" i="45"/>
  <c r="P22" i="45"/>
  <c r="O22" i="45"/>
  <c r="K22" i="45"/>
  <c r="M22" i="45" s="1"/>
  <c r="G22" i="45"/>
  <c r="P21" i="45"/>
  <c r="O21" i="45"/>
  <c r="L21" i="45"/>
  <c r="M21" i="45" s="1"/>
  <c r="K21" i="45"/>
  <c r="G21" i="45"/>
  <c r="P20" i="45"/>
  <c r="O20" i="45"/>
  <c r="K20" i="45"/>
  <c r="M20" i="45" s="1"/>
  <c r="G20" i="45"/>
  <c r="P19" i="45"/>
  <c r="O19" i="45"/>
  <c r="K19" i="45"/>
  <c r="L19" i="45" s="1"/>
  <c r="G19" i="45"/>
  <c r="P18" i="45"/>
  <c r="O18" i="45"/>
  <c r="L18" i="45"/>
  <c r="M18" i="45" s="1"/>
  <c r="K18" i="45"/>
  <c r="G18" i="45"/>
  <c r="P17" i="45"/>
  <c r="O17" i="45"/>
  <c r="L17" i="45"/>
  <c r="M17" i="45" s="1"/>
  <c r="K17" i="45"/>
  <c r="G17" i="45"/>
  <c r="P16" i="45"/>
  <c r="O16" i="45"/>
  <c r="K16" i="45"/>
  <c r="L16" i="45" s="1"/>
  <c r="G16" i="45"/>
  <c r="P15" i="45"/>
  <c r="O15" i="45"/>
  <c r="K15" i="45"/>
  <c r="L15" i="45" s="1"/>
  <c r="G15" i="45"/>
  <c r="P14" i="45"/>
  <c r="O14" i="45"/>
  <c r="L14" i="45"/>
  <c r="M14" i="45" s="1"/>
  <c r="K14" i="45"/>
  <c r="G14" i="45"/>
  <c r="P13" i="45"/>
  <c r="O13" i="45"/>
  <c r="K13" i="45"/>
  <c r="L13" i="45" s="1"/>
  <c r="G13" i="45"/>
  <c r="P12" i="45"/>
  <c r="O12" i="45"/>
  <c r="K12" i="45"/>
  <c r="L12" i="45" s="1"/>
  <c r="G12" i="45"/>
  <c r="P11" i="45"/>
  <c r="O11" i="45"/>
  <c r="K11" i="45"/>
  <c r="M11" i="45" s="1"/>
  <c r="G11" i="45"/>
  <c r="P10" i="45"/>
  <c r="O10" i="45"/>
  <c r="K10" i="45"/>
  <c r="M10" i="45" s="1"/>
  <c r="G10" i="45"/>
  <c r="P9" i="45"/>
  <c r="O9" i="45"/>
  <c r="K9" i="45"/>
  <c r="M9" i="45" s="1"/>
  <c r="G9" i="45"/>
  <c r="P8" i="45"/>
  <c r="O8" i="45"/>
  <c r="K8" i="45"/>
  <c r="L8" i="45" s="1"/>
  <c r="G8" i="45"/>
  <c r="P38" i="45"/>
  <c r="O38" i="45"/>
  <c r="L38" i="45"/>
  <c r="M38" i="45" s="1"/>
  <c r="K38" i="45"/>
  <c r="G38" i="45"/>
  <c r="P37" i="45"/>
  <c r="O37" i="45"/>
  <c r="K37" i="45"/>
  <c r="M37" i="45" s="1"/>
  <c r="G37" i="45"/>
  <c r="P36" i="45"/>
  <c r="O36" i="45"/>
  <c r="K36" i="45"/>
  <c r="M36" i="45" s="1"/>
  <c r="G36" i="45"/>
  <c r="P35" i="45"/>
  <c r="O35" i="45"/>
  <c r="K35" i="45"/>
  <c r="L35" i="45" s="1"/>
  <c r="G35" i="45"/>
  <c r="P34" i="45"/>
  <c r="O34" i="45"/>
  <c r="K34" i="45"/>
  <c r="M34" i="45" s="1"/>
  <c r="G34" i="45"/>
  <c r="O33" i="45"/>
  <c r="P65" i="45"/>
  <c r="O65" i="45"/>
  <c r="K65" i="45"/>
  <c r="M65" i="45" s="1"/>
  <c r="G65" i="45"/>
  <c r="P64" i="45"/>
  <c r="O64" i="45"/>
  <c r="K64" i="45"/>
  <c r="M64" i="45" s="1"/>
  <c r="G64" i="45"/>
  <c r="K6" i="48"/>
  <c r="J6" i="48"/>
  <c r="C6" i="48"/>
  <c r="C7" i="48"/>
  <c r="D7" i="48"/>
  <c r="D6" i="48"/>
  <c r="E6" i="48"/>
  <c r="L24" i="45" l="1"/>
  <c r="L22" i="45"/>
  <c r="L23" i="45"/>
  <c r="L20" i="45"/>
  <c r="M19" i="45"/>
  <c r="M15" i="45"/>
  <c r="L9" i="45"/>
  <c r="L11" i="45"/>
  <c r="M13" i="45"/>
  <c r="K6" i="45"/>
  <c r="L10" i="45"/>
  <c r="M8" i="45"/>
  <c r="M12" i="45"/>
  <c r="M16" i="45"/>
  <c r="L37" i="45"/>
  <c r="L36" i="45"/>
  <c r="M35" i="45"/>
  <c r="P30" i="45" s="1"/>
  <c r="L34" i="45"/>
  <c r="L65" i="45"/>
  <c r="L64" i="45"/>
  <c r="P63" i="45"/>
  <c r="O63" i="45"/>
  <c r="K63" i="45"/>
  <c r="M63" i="45" s="1"/>
  <c r="G63" i="45"/>
  <c r="P62" i="45"/>
  <c r="O62" i="45"/>
  <c r="K62" i="45"/>
  <c r="M62" i="45" s="1"/>
  <c r="G62" i="45"/>
  <c r="P61" i="45"/>
  <c r="O61" i="45"/>
  <c r="K61" i="45"/>
  <c r="M61" i="45" s="1"/>
  <c r="G61" i="45"/>
  <c r="P60" i="45"/>
  <c r="O60" i="45"/>
  <c r="K60" i="45"/>
  <c r="M60" i="45" s="1"/>
  <c r="G60" i="45"/>
  <c r="P59" i="45"/>
  <c r="O59" i="45"/>
  <c r="K59" i="45"/>
  <c r="M59" i="45" s="1"/>
  <c r="G59" i="45"/>
  <c r="L6" i="45" l="1"/>
  <c r="M30" i="45"/>
  <c r="L30" i="45"/>
  <c r="P6" i="45"/>
  <c r="M6" i="45"/>
  <c r="L28" i="45"/>
  <c r="L40" i="45"/>
  <c r="L62" i="45"/>
  <c r="L63" i="45"/>
  <c r="L61" i="45"/>
  <c r="L60" i="45"/>
  <c r="L59" i="45"/>
  <c r="P58" i="45"/>
  <c r="O58" i="45"/>
  <c r="K58" i="45"/>
  <c r="M58" i="45" s="1"/>
  <c r="G58" i="45"/>
  <c r="P57" i="45"/>
  <c r="O57" i="45"/>
  <c r="K57" i="45"/>
  <c r="M57" i="45" s="1"/>
  <c r="G57" i="45"/>
  <c r="P56" i="45"/>
  <c r="O56" i="45"/>
  <c r="K56" i="45"/>
  <c r="L56" i="45" s="1"/>
  <c r="G56" i="45"/>
  <c r="P55" i="45"/>
  <c r="O55" i="45"/>
  <c r="K55" i="45"/>
  <c r="M55" i="45" s="1"/>
  <c r="G55" i="45"/>
  <c r="P54" i="45"/>
  <c r="O54" i="45"/>
  <c r="K54" i="45"/>
  <c r="L54" i="45" s="1"/>
  <c r="G54" i="45"/>
  <c r="L58" i="45" l="1"/>
  <c r="L57" i="45"/>
  <c r="M56" i="45"/>
  <c r="L55" i="45"/>
  <c r="M54" i="45"/>
  <c r="P53" i="45"/>
  <c r="O53" i="45"/>
  <c r="K53" i="45"/>
  <c r="M53" i="45" s="1"/>
  <c r="G53" i="45"/>
  <c r="P52" i="45"/>
  <c r="O52" i="45"/>
  <c r="K52" i="45"/>
  <c r="M52" i="45" s="1"/>
  <c r="G52" i="45"/>
  <c r="L53" i="45" l="1"/>
  <c r="L52" i="45"/>
  <c r="P51" i="45"/>
  <c r="O51" i="45"/>
  <c r="L51" i="45"/>
  <c r="M51" i="45" s="1"/>
  <c r="K51" i="45"/>
  <c r="G51" i="45"/>
  <c r="P50" i="45"/>
  <c r="O50" i="45"/>
  <c r="L50" i="45"/>
  <c r="M50" i="45" s="1"/>
  <c r="K50" i="45"/>
  <c r="G50" i="45"/>
  <c r="P49" i="45"/>
  <c r="O49" i="45"/>
  <c r="L49" i="45"/>
  <c r="M49" i="45" s="1"/>
  <c r="K49" i="45"/>
  <c r="G49" i="45"/>
  <c r="P48" i="45"/>
  <c r="O48" i="45"/>
  <c r="L48" i="45"/>
  <c r="M48" i="45" s="1"/>
  <c r="K48" i="45"/>
  <c r="G48" i="45"/>
  <c r="P47" i="45"/>
  <c r="O47" i="45"/>
  <c r="L47" i="45"/>
  <c r="M47" i="45" s="1"/>
  <c r="K47" i="45"/>
  <c r="G47" i="45"/>
  <c r="P46" i="45"/>
  <c r="O46" i="45"/>
  <c r="L46" i="45"/>
  <c r="M46" i="45" s="1"/>
  <c r="K46" i="45"/>
  <c r="G46" i="45"/>
  <c r="P45" i="45"/>
  <c r="O45" i="45"/>
  <c r="K45" i="45"/>
  <c r="M45" i="45" s="1"/>
  <c r="G45" i="45"/>
  <c r="P44" i="45"/>
  <c r="O44" i="45"/>
  <c r="L44" i="45"/>
  <c r="K44" i="45"/>
  <c r="G44" i="45"/>
  <c r="P122" i="45"/>
  <c r="O122" i="45"/>
  <c r="K122" i="45"/>
  <c r="M122" i="45" s="1"/>
  <c r="G122" i="45"/>
  <c r="P121" i="45"/>
  <c r="O121" i="45"/>
  <c r="K121" i="45"/>
  <c r="M121" i="45" s="1"/>
  <c r="G121" i="45"/>
  <c r="P120" i="45"/>
  <c r="O120" i="45"/>
  <c r="K120" i="45"/>
  <c r="M120" i="45" s="1"/>
  <c r="G120" i="45"/>
  <c r="P119" i="45"/>
  <c r="O119" i="45"/>
  <c r="K119" i="45"/>
  <c r="M119" i="45" s="1"/>
  <c r="G119" i="45"/>
  <c r="P118" i="45"/>
  <c r="O118" i="45"/>
  <c r="K118" i="45"/>
  <c r="M118" i="45" s="1"/>
  <c r="G118" i="45"/>
  <c r="P117" i="45"/>
  <c r="O117" i="45"/>
  <c r="K117" i="45"/>
  <c r="M117" i="45" s="1"/>
  <c r="G117" i="45"/>
  <c r="P116" i="45"/>
  <c r="O116" i="45"/>
  <c r="K116" i="45"/>
  <c r="M116" i="45" s="1"/>
  <c r="G116" i="45"/>
  <c r="M44" i="45" l="1"/>
  <c r="K42" i="45"/>
  <c r="K30" i="45" s="1"/>
  <c r="L45" i="45"/>
  <c r="L67" i="45" s="1"/>
  <c r="M67" i="45"/>
  <c r="L122" i="45"/>
  <c r="L121" i="45"/>
  <c r="L120" i="45"/>
  <c r="L119" i="45"/>
  <c r="L118" i="45"/>
  <c r="L117" i="45"/>
  <c r="L116" i="45"/>
  <c r="G114" i="45"/>
  <c r="P115" i="45"/>
  <c r="O115" i="45"/>
  <c r="K115" i="45"/>
  <c r="M115" i="45" s="1"/>
  <c r="G115" i="45"/>
  <c r="P114" i="45"/>
  <c r="O114" i="45"/>
  <c r="L114" i="45"/>
  <c r="M114" i="45" s="1"/>
  <c r="K114" i="45"/>
  <c r="P113" i="45"/>
  <c r="O113" i="45"/>
  <c r="K113" i="45"/>
  <c r="M113" i="45" s="1"/>
  <c r="G113" i="45"/>
  <c r="P112" i="45"/>
  <c r="O112" i="45"/>
  <c r="K112" i="45"/>
  <c r="M112" i="45" s="1"/>
  <c r="G112" i="45"/>
  <c r="P111" i="45"/>
  <c r="O111" i="45"/>
  <c r="L111" i="45"/>
  <c r="M111" i="45" s="1"/>
  <c r="K111" i="45"/>
  <c r="G111" i="45"/>
  <c r="L42" i="45" l="1"/>
  <c r="P42" i="45"/>
  <c r="M42" i="45"/>
  <c r="L115" i="45"/>
  <c r="L113" i="45"/>
  <c r="L112" i="45"/>
  <c r="P110" i="45"/>
  <c r="O110" i="45"/>
  <c r="K110" i="45"/>
  <c r="G110" i="45"/>
  <c r="P109" i="45"/>
  <c r="O109" i="45"/>
  <c r="K109" i="45"/>
  <c r="M109" i="45" s="1"/>
  <c r="G109" i="45"/>
  <c r="P108" i="45"/>
  <c r="O108" i="45"/>
  <c r="K108" i="45"/>
  <c r="M108" i="45" s="1"/>
  <c r="G108" i="45"/>
  <c r="P107" i="45"/>
  <c r="O107" i="45"/>
  <c r="L107" i="45"/>
  <c r="M107" i="45" s="1"/>
  <c r="K107" i="45"/>
  <c r="G107" i="45"/>
  <c r="L110" i="45" l="1"/>
  <c r="M110" i="45" s="1"/>
  <c r="L109" i="45"/>
  <c r="L108" i="45"/>
  <c r="P106" i="45"/>
  <c r="O106" i="45"/>
  <c r="K106" i="45"/>
  <c r="G106" i="45"/>
  <c r="P105" i="45"/>
  <c r="O105" i="45"/>
  <c r="K105" i="45"/>
  <c r="M105" i="45" s="1"/>
  <c r="G105" i="45"/>
  <c r="P104" i="45"/>
  <c r="O104" i="45"/>
  <c r="L104" i="45"/>
  <c r="M104" i="45" s="1"/>
  <c r="K104" i="45"/>
  <c r="G104" i="45"/>
  <c r="P103" i="45"/>
  <c r="O103" i="45"/>
  <c r="K103" i="45"/>
  <c r="M103" i="45" s="1"/>
  <c r="G103" i="45"/>
  <c r="P102" i="45"/>
  <c r="O102" i="45"/>
  <c r="K102" i="45"/>
  <c r="M102" i="45" s="1"/>
  <c r="G102" i="45"/>
  <c r="P101" i="45"/>
  <c r="O101" i="45"/>
  <c r="K101" i="45"/>
  <c r="M101" i="45" s="1"/>
  <c r="G101" i="45"/>
  <c r="P100" i="45"/>
  <c r="O100" i="45"/>
  <c r="K100" i="45"/>
  <c r="G100" i="45"/>
  <c r="P99" i="45"/>
  <c r="O99" i="45"/>
  <c r="K99" i="45"/>
  <c r="G99" i="45"/>
  <c r="P98" i="45"/>
  <c r="O98" i="45"/>
  <c r="K98" i="45"/>
  <c r="L98" i="45" s="1"/>
  <c r="M98" i="45" s="1"/>
  <c r="G98" i="45"/>
  <c r="P97" i="45"/>
  <c r="O97" i="45"/>
  <c r="K97" i="45"/>
  <c r="M97" i="45" s="1"/>
  <c r="G97" i="45"/>
  <c r="P96" i="45"/>
  <c r="O96" i="45"/>
  <c r="L96" i="45"/>
  <c r="M96" i="45" s="1"/>
  <c r="K96" i="45"/>
  <c r="G96" i="45"/>
  <c r="P95" i="45"/>
  <c r="O95" i="45"/>
  <c r="K95" i="45"/>
  <c r="M95" i="45" s="1"/>
  <c r="G95" i="45"/>
  <c r="P94" i="45"/>
  <c r="O94" i="45"/>
  <c r="L94" i="45"/>
  <c r="M94" i="45" s="1"/>
  <c r="K94" i="45"/>
  <c r="G94" i="45"/>
  <c r="P93" i="45"/>
  <c r="O93" i="45"/>
  <c r="K93" i="45"/>
  <c r="M93" i="45" s="1"/>
  <c r="G93" i="45"/>
  <c r="P92" i="45"/>
  <c r="O92" i="45"/>
  <c r="K92" i="45"/>
  <c r="M92" i="45" s="1"/>
  <c r="G92" i="45"/>
  <c r="P91" i="45"/>
  <c r="O91" i="45"/>
  <c r="L91" i="45"/>
  <c r="M91" i="45" s="1"/>
  <c r="K91" i="45"/>
  <c r="G91" i="45"/>
  <c r="P90" i="45"/>
  <c r="O90" i="45"/>
  <c r="L90" i="45"/>
  <c r="M90" i="45" s="1"/>
  <c r="K90" i="45"/>
  <c r="G90" i="45"/>
  <c r="L106" i="45" l="1"/>
  <c r="M106" i="45" s="1"/>
  <c r="L105" i="45"/>
  <c r="L103" i="45"/>
  <c r="L102" i="45"/>
  <c r="L101" i="45"/>
  <c r="L100" i="45"/>
  <c r="M100" i="45" s="1"/>
  <c r="L99" i="45"/>
  <c r="M99" i="45" s="1"/>
  <c r="L97" i="45"/>
  <c r="L95" i="45"/>
  <c r="L93" i="45"/>
  <c r="L92" i="45"/>
  <c r="P89" i="45"/>
  <c r="O89" i="45"/>
  <c r="K89" i="45"/>
  <c r="M89" i="45" s="1"/>
  <c r="G89" i="45"/>
  <c r="P88" i="45"/>
  <c r="O88" i="45"/>
  <c r="K88" i="45"/>
  <c r="M88" i="45" s="1"/>
  <c r="G88" i="45"/>
  <c r="L89" i="45" l="1"/>
  <c r="L88" i="45"/>
  <c r="P84" i="45"/>
  <c r="P83" i="45"/>
  <c r="O83" i="45"/>
  <c r="K83" i="45"/>
  <c r="M83" i="45" s="1"/>
  <c r="G83" i="45"/>
  <c r="P82" i="45"/>
  <c r="O82" i="45"/>
  <c r="K82" i="45"/>
  <c r="M82" i="45" s="1"/>
  <c r="G82" i="45"/>
  <c r="P77" i="45"/>
  <c r="O77" i="45"/>
  <c r="K77" i="45"/>
  <c r="G77" i="45"/>
  <c r="L72" i="45"/>
  <c r="L84" i="45"/>
  <c r="M84" i="45" s="1"/>
  <c r="P72" i="45"/>
  <c r="O72" i="45"/>
  <c r="K72" i="45"/>
  <c r="G72" i="45"/>
  <c r="P71" i="45"/>
  <c r="O71" i="45"/>
  <c r="K71" i="45"/>
  <c r="G71" i="45"/>
  <c r="P76" i="45"/>
  <c r="O76" i="45"/>
  <c r="K76" i="45"/>
  <c r="M76" i="45" s="1"/>
  <c r="G76" i="45"/>
  <c r="P87" i="45"/>
  <c r="O87" i="45"/>
  <c r="K87" i="45"/>
  <c r="M87" i="45" s="1"/>
  <c r="G87" i="45"/>
  <c r="P86" i="45"/>
  <c r="O86" i="45"/>
  <c r="K86" i="45"/>
  <c r="M86" i="45" s="1"/>
  <c r="G86" i="45"/>
  <c r="O84" i="45"/>
  <c r="K84" i="45"/>
  <c r="G84" i="45"/>
  <c r="P85" i="45"/>
  <c r="O85" i="45"/>
  <c r="K85" i="45"/>
  <c r="G85" i="45"/>
  <c r="P81" i="45"/>
  <c r="O81" i="45"/>
  <c r="K81" i="45"/>
  <c r="M81" i="45" s="1"/>
  <c r="G81" i="45"/>
  <c r="P80" i="45"/>
  <c r="O80" i="45"/>
  <c r="K80" i="45"/>
  <c r="M80" i="45" s="1"/>
  <c r="G80" i="45"/>
  <c r="P79" i="45"/>
  <c r="O79" i="45"/>
  <c r="K79" i="45"/>
  <c r="M79" i="45" s="1"/>
  <c r="G79" i="45"/>
  <c r="L83" i="45" l="1"/>
  <c r="L82" i="45"/>
  <c r="L86" i="45"/>
  <c r="L85" i="45"/>
  <c r="M85" i="45" s="1"/>
  <c r="L81" i="45"/>
  <c r="L77" i="45"/>
  <c r="M77" i="45" s="1"/>
  <c r="L80" i="45"/>
  <c r="L79" i="45"/>
  <c r="L76" i="45"/>
  <c r="L87" i="45"/>
  <c r="M72" i="45"/>
  <c r="L71" i="45"/>
  <c r="P78" i="45"/>
  <c r="O78" i="45"/>
  <c r="K78" i="45"/>
  <c r="G78" i="45"/>
  <c r="P75" i="45"/>
  <c r="O75" i="45"/>
  <c r="K75" i="45"/>
  <c r="L75" i="45" s="1"/>
  <c r="G75" i="45"/>
  <c r="P74" i="45"/>
  <c r="O74" i="45"/>
  <c r="K74" i="45"/>
  <c r="G74" i="45"/>
  <c r="P73" i="45"/>
  <c r="O73" i="45"/>
  <c r="K73" i="45"/>
  <c r="G73" i="45"/>
  <c r="K158" i="45"/>
  <c r="P159" i="45"/>
  <c r="O159" i="45"/>
  <c r="L159" i="45"/>
  <c r="M159" i="45" s="1"/>
  <c r="K159" i="45"/>
  <c r="G159" i="45"/>
  <c r="P158" i="45"/>
  <c r="O158" i="45"/>
  <c r="L158" i="45"/>
  <c r="M158" i="45" s="1"/>
  <c r="G158" i="45"/>
  <c r="P157" i="45"/>
  <c r="O157" i="45"/>
  <c r="K157" i="45"/>
  <c r="M157" i="45" s="1"/>
  <c r="G157" i="45"/>
  <c r="P156" i="45"/>
  <c r="O156" i="45"/>
  <c r="K156" i="45"/>
  <c r="M156" i="45" s="1"/>
  <c r="G156" i="45"/>
  <c r="P155" i="45"/>
  <c r="O155" i="45"/>
  <c r="K155" i="45"/>
  <c r="M155" i="45" s="1"/>
  <c r="G155" i="45"/>
  <c r="P154" i="45"/>
  <c r="O154" i="45"/>
  <c r="K154" i="45"/>
  <c r="M154" i="45" s="1"/>
  <c r="G154" i="45"/>
  <c r="O153" i="45"/>
  <c r="P153" i="45"/>
  <c r="K153" i="45"/>
  <c r="M153" i="45" s="1"/>
  <c r="G153" i="45"/>
  <c r="L2" i="45"/>
  <c r="P152" i="45"/>
  <c r="O152" i="45"/>
  <c r="K152" i="45"/>
  <c r="L152" i="45" s="1"/>
  <c r="G152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P2" i="45"/>
  <c r="O2" i="45"/>
  <c r="K2" i="45"/>
  <c r="G2" i="45"/>
  <c r="L123" i="45" l="1"/>
  <c r="M123" i="45"/>
  <c r="M71" i="45"/>
  <c r="K69" i="45"/>
  <c r="M73" i="45"/>
  <c r="L73" i="45"/>
  <c r="M78" i="45"/>
  <c r="L78" i="45"/>
  <c r="M74" i="45"/>
  <c r="L74" i="45"/>
  <c r="L157" i="45"/>
  <c r="L156" i="45"/>
  <c r="L155" i="45"/>
  <c r="L154" i="45"/>
  <c r="L153" i="45"/>
  <c r="M152" i="45"/>
  <c r="M2" i="45"/>
  <c r="L130" i="45"/>
  <c r="M130" i="45" s="1"/>
  <c r="L131" i="45"/>
  <c r="M131" i="45" s="1"/>
  <c r="L133" i="45"/>
  <c r="M133" i="45" s="1"/>
  <c r="L136" i="45"/>
  <c r="M136" i="45" s="1"/>
  <c r="L138" i="45"/>
  <c r="M138" i="45" s="1"/>
  <c r="L140" i="45"/>
  <c r="M140" i="45" s="1"/>
  <c r="K151" i="45"/>
  <c r="L151" i="45" s="1"/>
  <c r="K127" i="45"/>
  <c r="K128" i="45"/>
  <c r="L128" i="45" s="1"/>
  <c r="K129" i="45"/>
  <c r="L129" i="45" s="1"/>
  <c r="K130" i="45"/>
  <c r="K131" i="45"/>
  <c r="K132" i="45"/>
  <c r="L132" i="45" s="1"/>
  <c r="K133" i="45"/>
  <c r="K134" i="45"/>
  <c r="L134" i="45" s="1"/>
  <c r="K135" i="45"/>
  <c r="L135" i="45" s="1"/>
  <c r="K136" i="45"/>
  <c r="K137" i="45"/>
  <c r="M137" i="45" s="1"/>
  <c r="K138" i="45"/>
  <c r="K139" i="45"/>
  <c r="L139" i="45" s="1"/>
  <c r="K140" i="45"/>
  <c r="K141" i="45"/>
  <c r="M141" i="45" s="1"/>
  <c r="K142" i="45"/>
  <c r="L142" i="45" s="1"/>
  <c r="K143" i="45"/>
  <c r="M143" i="45" s="1"/>
  <c r="K144" i="45"/>
  <c r="L144" i="45" s="1"/>
  <c r="K145" i="45"/>
  <c r="M145" i="45" s="1"/>
  <c r="K146" i="45"/>
  <c r="L146" i="45" s="1"/>
  <c r="K147" i="45"/>
  <c r="L147" i="45" s="1"/>
  <c r="K148" i="45"/>
  <c r="M148" i="45" s="1"/>
  <c r="K149" i="45"/>
  <c r="M149" i="45" s="1"/>
  <c r="K150" i="45"/>
  <c r="M150" i="45" s="1"/>
  <c r="P151" i="45"/>
  <c r="O151" i="45"/>
  <c r="P150" i="45"/>
  <c r="O150" i="45"/>
  <c r="L69" i="45" l="1"/>
  <c r="M75" i="45"/>
  <c r="P69" i="45" s="1"/>
  <c r="L127" i="45"/>
  <c r="K125" i="45"/>
  <c r="L145" i="45"/>
  <c r="L137" i="45"/>
  <c r="M134" i="45"/>
  <c r="L149" i="45"/>
  <c r="M135" i="45"/>
  <c r="M147" i="45"/>
  <c r="M146" i="45"/>
  <c r="M132" i="45"/>
  <c r="M129" i="45"/>
  <c r="M128" i="45"/>
  <c r="L148" i="45"/>
  <c r="L143" i="45"/>
  <c r="L141" i="45"/>
  <c r="M127" i="45"/>
  <c r="M151" i="45"/>
  <c r="M144" i="45"/>
  <c r="M142" i="45"/>
  <c r="M139" i="45"/>
  <c r="L150" i="45"/>
  <c r="A7" i="48"/>
  <c r="B4" i="48" s="1"/>
  <c r="P149" i="45"/>
  <c r="O149" i="45"/>
  <c r="P148" i="45"/>
  <c r="O148" i="45"/>
  <c r="O127" i="45"/>
  <c r="P127" i="45"/>
  <c r="O128" i="45"/>
  <c r="P128" i="45"/>
  <c r="O129" i="45"/>
  <c r="P129" i="45"/>
  <c r="O130" i="45"/>
  <c r="P130" i="45"/>
  <c r="O131" i="45"/>
  <c r="P131" i="45"/>
  <c r="O132" i="45"/>
  <c r="P132" i="45"/>
  <c r="O133" i="45"/>
  <c r="P133" i="45"/>
  <c r="O134" i="45"/>
  <c r="P134" i="45"/>
  <c r="O135" i="45"/>
  <c r="P135" i="45"/>
  <c r="O136" i="45"/>
  <c r="P136" i="45"/>
  <c r="O137" i="45"/>
  <c r="P137" i="45"/>
  <c r="O138" i="45"/>
  <c r="P138" i="45"/>
  <c r="O139" i="45"/>
  <c r="P139" i="45"/>
  <c r="O140" i="45"/>
  <c r="P140" i="45"/>
  <c r="O141" i="45"/>
  <c r="P141" i="45"/>
  <c r="O142" i="45"/>
  <c r="P142" i="45"/>
  <c r="O143" i="45"/>
  <c r="P143" i="45"/>
  <c r="O144" i="45"/>
  <c r="P144" i="45"/>
  <c r="O145" i="45"/>
  <c r="P145" i="45"/>
  <c r="P147" i="45"/>
  <c r="O147" i="45"/>
  <c r="P146" i="45"/>
  <c r="O146" i="45"/>
  <c r="M69" i="45" l="1"/>
  <c r="P125" i="45"/>
  <c r="M125" i="45"/>
  <c r="L125" i="45"/>
  <c r="G6" i="48"/>
  <c r="C9" i="48" s="1"/>
  <c r="G7" i="48"/>
  <c r="F9" i="48"/>
  <c r="F6" i="48"/>
  <c r="F7" i="48"/>
  <c r="L6" i="48"/>
  <c r="B9" i="48" l="1"/>
  <c r="G10" i="48" s="1"/>
  <c r="G11" i="48" s="1"/>
  <c r="G8" i="48"/>
  <c r="I6" i="48" s="1"/>
  <c r="P163" i="45"/>
  <c r="O163" i="45"/>
  <c r="K163" i="45"/>
  <c r="M163" i="45" s="1"/>
  <c r="M161" i="45" s="1"/>
  <c r="G163" i="45"/>
  <c r="L163" i="45" l="1"/>
  <c r="L161" i="45" s="1"/>
  <c r="P167" i="45" l="1"/>
  <c r="O167" i="45"/>
  <c r="K167" i="45"/>
  <c r="M167" i="45" s="1"/>
  <c r="G167" i="45"/>
  <c r="L167" i="45" l="1"/>
  <c r="L165" i="45" s="1"/>
  <c r="M165" i="45"/>
  <c r="L245" i="45"/>
  <c r="P171" i="45"/>
  <c r="O171" i="45"/>
  <c r="K171" i="45"/>
  <c r="G171" i="45"/>
  <c r="P191" i="45"/>
  <c r="O191" i="45"/>
  <c r="K191" i="45"/>
  <c r="L191" i="45" s="1"/>
  <c r="G191" i="45"/>
  <c r="P190" i="45"/>
  <c r="O190" i="45"/>
  <c r="K190" i="45"/>
  <c r="L190" i="45" s="1"/>
  <c r="G190" i="45"/>
  <c r="P189" i="45"/>
  <c r="O189" i="45"/>
  <c r="K189" i="45"/>
  <c r="L189" i="45" s="1"/>
  <c r="G189" i="45"/>
  <c r="P188" i="45"/>
  <c r="O188" i="45"/>
  <c r="K188" i="45"/>
  <c r="L188" i="45" s="1"/>
  <c r="G188" i="45"/>
  <c r="P187" i="45"/>
  <c r="O187" i="45"/>
  <c r="K187" i="45"/>
  <c r="L187" i="45" s="1"/>
  <c r="G187" i="45"/>
  <c r="P186" i="45"/>
  <c r="O186" i="45"/>
  <c r="K186" i="45"/>
  <c r="L186" i="45" s="1"/>
  <c r="G186" i="45"/>
  <c r="P185" i="45"/>
  <c r="O185" i="45"/>
  <c r="K185" i="45"/>
  <c r="L185" i="45" s="1"/>
  <c r="G185" i="45"/>
  <c r="L171" i="45" l="1"/>
  <c r="L169" i="45" s="1"/>
  <c r="M171" i="45"/>
  <c r="M169" i="45" s="1"/>
  <c r="P161" i="45" s="1"/>
  <c r="M191" i="45"/>
  <c r="M190" i="45"/>
  <c r="M189" i="45"/>
  <c r="M188" i="45"/>
  <c r="M187" i="45"/>
  <c r="M186" i="45"/>
  <c r="M185" i="45"/>
  <c r="P184" i="45"/>
  <c r="O184" i="45"/>
  <c r="K184" i="45"/>
  <c r="L184" i="45" s="1"/>
  <c r="G184" i="45"/>
  <c r="P183" i="45"/>
  <c r="O183" i="45"/>
  <c r="K183" i="45"/>
  <c r="L183" i="45" s="1"/>
  <c r="M183" i="45" s="1"/>
  <c r="G183" i="45"/>
  <c r="F85" i="3"/>
  <c r="B88" i="3"/>
  <c r="D87" i="3"/>
  <c r="J88" i="3"/>
  <c r="K86" i="3"/>
  <c r="K88" i="3"/>
  <c r="M184" i="45" l="1"/>
  <c r="P182" i="45"/>
  <c r="O182" i="45"/>
  <c r="K182" i="45"/>
  <c r="L182" i="45" s="1"/>
  <c r="M182" i="45" s="1"/>
  <c r="G182" i="45"/>
  <c r="P181" i="45"/>
  <c r="O181" i="45"/>
  <c r="K181" i="45"/>
  <c r="L181" i="45" s="1"/>
  <c r="M181" i="45" s="1"/>
  <c r="G181" i="45"/>
  <c r="P180" i="45" l="1"/>
  <c r="O180" i="45"/>
  <c r="K180" i="45"/>
  <c r="M180" i="45" s="1"/>
  <c r="G180" i="45"/>
  <c r="P179" i="45"/>
  <c r="O179" i="45"/>
  <c r="K179" i="45"/>
  <c r="L179" i="45" s="1"/>
  <c r="M179" i="45" s="1"/>
  <c r="G179" i="45"/>
  <c r="L180" i="45" l="1"/>
  <c r="P178" i="45"/>
  <c r="O178" i="45"/>
  <c r="K178" i="45"/>
  <c r="L178" i="45" s="1"/>
  <c r="G178" i="45"/>
  <c r="P177" i="45"/>
  <c r="O177" i="45"/>
  <c r="K177" i="45"/>
  <c r="L177" i="45" s="1"/>
  <c r="M177" i="45" s="1"/>
  <c r="G177" i="45"/>
  <c r="P176" i="45"/>
  <c r="O176" i="45"/>
  <c r="K176" i="45"/>
  <c r="G176" i="45"/>
  <c r="O218" i="45"/>
  <c r="O219" i="45"/>
  <c r="P219" i="45"/>
  <c r="K219" i="45"/>
  <c r="L219" i="45" s="1"/>
  <c r="G219" i="45"/>
  <c r="M178" i="45" l="1"/>
  <c r="K174" i="45"/>
  <c r="M176" i="45"/>
  <c r="L176" i="45"/>
  <c r="M219" i="45"/>
  <c r="L174" i="45" l="1"/>
  <c r="M174" i="45"/>
  <c r="P165" i="45" s="1"/>
  <c r="P174" i="45"/>
  <c r="P218" i="45"/>
  <c r="K218" i="45"/>
  <c r="M218" i="45" s="1"/>
  <c r="G218" i="45"/>
  <c r="P169" i="45" l="1"/>
  <c r="L218" i="45"/>
  <c r="P217" i="45"/>
  <c r="O217" i="45"/>
  <c r="K217" i="45"/>
  <c r="L217" i="45" s="1"/>
  <c r="G217" i="45"/>
  <c r="P216" i="45"/>
  <c r="O216" i="45"/>
  <c r="K216" i="45"/>
  <c r="L216" i="45" s="1"/>
  <c r="G216" i="45"/>
  <c r="G214" i="45"/>
  <c r="P215" i="45"/>
  <c r="O215" i="45"/>
  <c r="K215" i="45"/>
  <c r="M215" i="45" s="1"/>
  <c r="G215" i="45"/>
  <c r="P214" i="45"/>
  <c r="O214" i="45"/>
  <c r="K214" i="45"/>
  <c r="M214" i="45" s="1"/>
  <c r="M217" i="45" l="1"/>
  <c r="M216" i="45"/>
  <c r="L214" i="45"/>
  <c r="L215" i="45"/>
  <c r="P213" i="45"/>
  <c r="O213" i="45"/>
  <c r="K213" i="45"/>
  <c r="L213" i="45" s="1"/>
  <c r="M213" i="45" s="1"/>
  <c r="G213" i="45"/>
  <c r="P212" i="45"/>
  <c r="O212" i="45"/>
  <c r="K212" i="45"/>
  <c r="L212" i="45" s="1"/>
  <c r="M212" i="45" s="1"/>
  <c r="G212" i="45"/>
  <c r="K198" i="45" l="1"/>
  <c r="K197" i="45"/>
  <c r="P211" i="45" l="1"/>
  <c r="G211" i="45"/>
  <c r="O211" i="45"/>
  <c r="K211" i="45"/>
  <c r="L211" i="45" s="1"/>
  <c r="M211" i="45" s="1"/>
  <c r="P210" i="45"/>
  <c r="O210" i="45"/>
  <c r="K210" i="45"/>
  <c r="L210" i="45" s="1"/>
  <c r="M210" i="45" s="1"/>
  <c r="G210" i="45"/>
  <c r="P209" i="45"/>
  <c r="O209" i="45"/>
  <c r="K209" i="45"/>
  <c r="L209" i="45" s="1"/>
  <c r="M209" i="45" s="1"/>
  <c r="G209" i="45"/>
  <c r="P206" i="45"/>
  <c r="O206" i="45"/>
  <c r="K206" i="45"/>
  <c r="L206" i="45" s="1"/>
  <c r="M206" i="45" s="1"/>
  <c r="G206" i="45"/>
  <c r="K208" i="45"/>
  <c r="L208" i="45" s="1"/>
  <c r="P208" i="45"/>
  <c r="O208" i="45"/>
  <c r="G208" i="45"/>
  <c r="P207" i="45"/>
  <c r="O207" i="45"/>
  <c r="K207" i="45"/>
  <c r="L207" i="45" s="1"/>
  <c r="M207" i="45" s="1"/>
  <c r="G207" i="45"/>
  <c r="P205" i="45"/>
  <c r="O205" i="45"/>
  <c r="K205" i="45"/>
  <c r="L205" i="45" s="1"/>
  <c r="M205" i="45" s="1"/>
  <c r="G205" i="45"/>
  <c r="P204" i="45"/>
  <c r="O204" i="45"/>
  <c r="K204" i="45"/>
  <c r="L204" i="45" s="1"/>
  <c r="G204" i="45"/>
  <c r="P203" i="45"/>
  <c r="O203" i="45"/>
  <c r="K203" i="45"/>
  <c r="L203" i="45" s="1"/>
  <c r="M203" i="45" s="1"/>
  <c r="G203" i="45"/>
  <c r="P202" i="45"/>
  <c r="O202" i="45"/>
  <c r="K202" i="45"/>
  <c r="L202" i="45" s="1"/>
  <c r="G202" i="45"/>
  <c r="P201" i="45"/>
  <c r="O201" i="45"/>
  <c r="K201" i="45"/>
  <c r="M201" i="45" s="1"/>
  <c r="G201" i="45"/>
  <c r="M208" i="45" l="1"/>
  <c r="L201" i="45"/>
  <c r="M204" i="45"/>
  <c r="M202" i="45"/>
  <c r="P200" i="45"/>
  <c r="O200" i="45"/>
  <c r="K200" i="45"/>
  <c r="G200" i="45"/>
  <c r="K199" i="45"/>
  <c r="L199" i="45" s="1"/>
  <c r="P199" i="45"/>
  <c r="O199" i="45"/>
  <c r="G199" i="45"/>
  <c r="P198" i="45"/>
  <c r="O198" i="45"/>
  <c r="L198" i="45"/>
  <c r="G198" i="45"/>
  <c r="P197" i="45"/>
  <c r="O197" i="45"/>
  <c r="G197" i="45"/>
  <c r="P196" i="45"/>
  <c r="O196" i="45"/>
  <c r="K196" i="45"/>
  <c r="G196" i="45"/>
  <c r="L197" i="45" l="1"/>
  <c r="M197" i="45" s="1"/>
  <c r="M196" i="45"/>
  <c r="L196" i="45"/>
  <c r="L200" i="45"/>
  <c r="M200" i="45" s="1"/>
  <c r="M199" i="45"/>
  <c r="K194" i="45"/>
  <c r="P249" i="45"/>
  <c r="P245" i="45"/>
  <c r="O245" i="45"/>
  <c r="K245" i="45"/>
  <c r="G245" i="45"/>
  <c r="P244" i="45"/>
  <c r="O244" i="45"/>
  <c r="K244" i="45"/>
  <c r="M244" i="45" s="1"/>
  <c r="G244" i="45"/>
  <c r="P243" i="45"/>
  <c r="O243" i="45"/>
  <c r="K243" i="45"/>
  <c r="G243" i="45"/>
  <c r="P242" i="45"/>
  <c r="O242" i="45"/>
  <c r="K242" i="45"/>
  <c r="L242" i="45" s="1"/>
  <c r="G242" i="45"/>
  <c r="M198" i="45" l="1"/>
  <c r="M194" i="45" s="1"/>
  <c r="L194" i="45"/>
  <c r="M245" i="45"/>
  <c r="L244" i="45"/>
  <c r="L243" i="45"/>
  <c r="M243" i="45" s="1"/>
  <c r="M242" i="45"/>
  <c r="P241" i="45"/>
  <c r="O241" i="45"/>
  <c r="L241" i="45"/>
  <c r="M241" i="45" s="1"/>
  <c r="K241" i="45"/>
  <c r="G241" i="45"/>
  <c r="P240" i="45"/>
  <c r="O240" i="45"/>
  <c r="K240" i="45"/>
  <c r="G240" i="45"/>
  <c r="P239" i="45"/>
  <c r="O239" i="45"/>
  <c r="L239" i="45"/>
  <c r="M239" i="45" s="1"/>
  <c r="K239" i="45"/>
  <c r="K238" i="45"/>
  <c r="L238" i="45"/>
  <c r="M238" i="45" s="1"/>
  <c r="P238" i="45"/>
  <c r="O238" i="45"/>
  <c r="L240" i="45" l="1"/>
  <c r="M240" i="45" s="1"/>
  <c r="P237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P224" i="45"/>
  <c r="P225" i="45"/>
  <c r="P226" i="45"/>
  <c r="P227" i="45"/>
  <c r="P228" i="45"/>
  <c r="P229" i="45"/>
  <c r="P230" i="45"/>
  <c r="P231" i="45"/>
  <c r="P232" i="45"/>
  <c r="P233" i="45"/>
  <c r="P234" i="45"/>
  <c r="P235" i="45"/>
  <c r="P236" i="45"/>
  <c r="P223" i="45"/>
  <c r="O237" i="45" l="1"/>
  <c r="L237" i="45"/>
  <c r="G237" i="45"/>
  <c r="M237" i="45" l="1"/>
  <c r="L223" i="45"/>
  <c r="L225" i="45"/>
  <c r="L234" i="45"/>
  <c r="M223" i="45"/>
  <c r="M225" i="45"/>
  <c r="M234" i="45"/>
  <c r="K228" i="45"/>
  <c r="M228" i="45" s="1"/>
  <c r="O236" i="45"/>
  <c r="L236" i="45"/>
  <c r="G236" i="45"/>
  <c r="K235" i="45"/>
  <c r="L235" i="45" s="1"/>
  <c r="O235" i="45"/>
  <c r="G235" i="45"/>
  <c r="O234" i="45"/>
  <c r="G234" i="45"/>
  <c r="O233" i="45"/>
  <c r="G233" i="45"/>
  <c r="O232" i="45"/>
  <c r="L232" i="45"/>
  <c r="G232" i="45"/>
  <c r="O231" i="45"/>
  <c r="K231" i="45"/>
  <c r="M231" i="45" s="1"/>
  <c r="G231" i="45"/>
  <c r="O230" i="45"/>
  <c r="K230" i="45"/>
  <c r="L230" i="45" s="1"/>
  <c r="G230" i="45"/>
  <c r="M230" i="45" l="1"/>
  <c r="L231" i="45"/>
  <c r="L228" i="45"/>
  <c r="M236" i="45"/>
  <c r="M232" i="45"/>
  <c r="M235" i="45"/>
  <c r="O229" i="45"/>
  <c r="K229" i="45"/>
  <c r="L229" i="45" s="1"/>
  <c r="G229" i="45"/>
  <c r="O227" i="45"/>
  <c r="G227" i="45"/>
  <c r="O228" i="45"/>
  <c r="G228" i="45"/>
  <c r="O226" i="45"/>
  <c r="K226" i="45"/>
  <c r="L226" i="45" s="1"/>
  <c r="G226" i="45"/>
  <c r="O225" i="45"/>
  <c r="G225" i="45"/>
  <c r="M229" i="45" l="1"/>
  <c r="M226" i="45"/>
  <c r="K227" i="45"/>
  <c r="L227" i="45" s="1"/>
  <c r="O223" i="45"/>
  <c r="G223" i="45"/>
  <c r="M227" i="45" l="1"/>
  <c r="O224" i="45"/>
  <c r="G224" i="45"/>
  <c r="O255" i="45" l="1"/>
  <c r="J249" i="45" l="1"/>
  <c r="O249" i="45"/>
  <c r="G249" i="45"/>
  <c r="J250" i="45"/>
  <c r="G250" i="45"/>
  <c r="P250" i="45"/>
  <c r="O250" i="45"/>
  <c r="L250" i="45"/>
  <c r="L249" i="45" l="1"/>
  <c r="M250" i="45"/>
  <c r="E44" i="7"/>
  <c r="F44" i="7" s="1"/>
  <c r="I251" i="45"/>
  <c r="K251" i="45" s="1"/>
  <c r="J252" i="45"/>
  <c r="P252" i="45"/>
  <c r="O252" i="45"/>
  <c r="K252" i="45"/>
  <c r="G252" i="45"/>
  <c r="P251" i="45"/>
  <c r="O251" i="45"/>
  <c r="G251" i="45"/>
  <c r="F13" i="7"/>
  <c r="I13" i="7"/>
  <c r="J13" i="7"/>
  <c r="K13" i="7" s="1"/>
  <c r="N13" i="7"/>
  <c r="O13" i="7"/>
  <c r="L13" i="7" l="1"/>
  <c r="M249" i="45"/>
  <c r="L251" i="45"/>
  <c r="M251" i="45" s="1"/>
  <c r="L252" i="45"/>
  <c r="M252" i="45" s="1"/>
  <c r="O253" i="45"/>
  <c r="O254" i="45"/>
  <c r="O256" i="45"/>
  <c r="O257" i="45"/>
  <c r="O258" i="45"/>
  <c r="O259" i="45"/>
  <c r="K253" i="45"/>
  <c r="P253" i="45" l="1"/>
  <c r="G253" i="45"/>
  <c r="L253" i="45"/>
  <c r="M253" i="45" l="1"/>
  <c r="K255" i="45"/>
  <c r="K256" i="45"/>
  <c r="K257" i="45"/>
  <c r="K258" i="45"/>
  <c r="J255" i="45"/>
  <c r="J256" i="45"/>
  <c r="J257" i="45"/>
  <c r="J258" i="45"/>
  <c r="K254" i="45"/>
  <c r="L257" i="45" l="1"/>
  <c r="M257" i="45" s="1"/>
  <c r="L254" i="45"/>
  <c r="L258" i="45"/>
  <c r="M258" i="45" s="1"/>
  <c r="L256" i="45"/>
  <c r="M256" i="45" s="1"/>
  <c r="L255" i="45"/>
  <c r="J254" i="45"/>
  <c r="M255" i="45" l="1"/>
  <c r="M254" i="45"/>
  <c r="G254" i="45"/>
  <c r="P254" i="45"/>
  <c r="P255" i="45"/>
  <c r="P256" i="45"/>
  <c r="P257" i="45"/>
  <c r="P259" i="45"/>
  <c r="P258" i="45"/>
  <c r="K259" i="45" l="1"/>
  <c r="K247" i="45" s="1"/>
  <c r="J259" i="45"/>
  <c r="G256" i="45"/>
  <c r="L259" i="45" l="1"/>
  <c r="L247" i="45" s="1"/>
  <c r="G255" i="45"/>
  <c r="M259" i="45" l="1"/>
  <c r="M247" i="45" s="1" a="1"/>
  <c r="M247" i="45" s="1"/>
  <c r="G19" i="1"/>
  <c r="C7" i="7"/>
  <c r="D7" i="7"/>
  <c r="E6" i="7"/>
  <c r="J6" i="7"/>
  <c r="K6" i="7"/>
  <c r="A7" i="7" l="1"/>
  <c r="B4" i="7" s="1"/>
  <c r="G6" i="7"/>
  <c r="J10" i="7" s="1"/>
  <c r="D16" i="1"/>
  <c r="D17" i="1"/>
  <c r="H37" i="7"/>
  <c r="I36" i="7"/>
  <c r="H33" i="7"/>
  <c r="G31" i="7"/>
  <c r="F31" i="7"/>
  <c r="I30" i="7"/>
  <c r="J30" i="7" s="1"/>
  <c r="G30" i="7"/>
  <c r="F30" i="7"/>
  <c r="K89" i="3"/>
  <c r="E88" i="3"/>
  <c r="E87" i="3"/>
  <c r="K85" i="3"/>
  <c r="J80" i="3"/>
  <c r="I80" i="3"/>
  <c r="K80" i="3" s="1"/>
  <c r="J79" i="3"/>
  <c r="I79" i="3"/>
  <c r="K79" i="3" s="1"/>
  <c r="F79" i="3"/>
  <c r="J78" i="3"/>
  <c r="I78" i="3"/>
  <c r="K78" i="3" s="1"/>
  <c r="F78" i="3"/>
  <c r="J77" i="3"/>
  <c r="I77" i="3"/>
  <c r="K77" i="3" s="1"/>
  <c r="F77" i="3"/>
  <c r="J76" i="3"/>
  <c r="I76" i="3"/>
  <c r="K76" i="3" s="1"/>
  <c r="F76" i="3"/>
  <c r="J75" i="3"/>
  <c r="I75" i="3"/>
  <c r="K75" i="3" s="1"/>
  <c r="F75" i="3"/>
  <c r="H69" i="3"/>
  <c r="I68" i="3"/>
  <c r="L62" i="3"/>
  <c r="K62" i="3"/>
  <c r="G62" i="3"/>
  <c r="G61" i="3"/>
  <c r="E61" i="3"/>
  <c r="F62" i="3" s="1"/>
  <c r="J59" i="3"/>
  <c r="D47" i="3"/>
  <c r="H44" i="3"/>
  <c r="G44" i="3"/>
  <c r="D51" i="3" s="1"/>
  <c r="E51" i="3" s="1"/>
  <c r="F44" i="3"/>
  <c r="J43" i="3"/>
  <c r="K43" i="3" s="1"/>
  <c r="H43" i="3"/>
  <c r="G43" i="3"/>
  <c r="F43" i="3"/>
  <c r="H37" i="3"/>
  <c r="G37" i="3"/>
  <c r="F37" i="3"/>
  <c r="I36" i="3"/>
  <c r="H36" i="3"/>
  <c r="G36" i="3"/>
  <c r="F36" i="3"/>
  <c r="L30" i="3"/>
  <c r="H29" i="3"/>
  <c r="L28" i="3"/>
  <c r="H24" i="3"/>
  <c r="G24" i="3"/>
  <c r="F24" i="3"/>
  <c r="I23" i="3"/>
  <c r="H23" i="3"/>
  <c r="G23" i="3"/>
  <c r="F23" i="3"/>
  <c r="H18" i="3"/>
  <c r="G18" i="3"/>
  <c r="F18" i="3"/>
  <c r="I17" i="3"/>
  <c r="H17" i="3"/>
  <c r="G17" i="3"/>
  <c r="F17" i="3"/>
  <c r="H12" i="3"/>
  <c r="G12" i="3"/>
  <c r="I11" i="3"/>
  <c r="H11" i="3"/>
  <c r="G11" i="3"/>
  <c r="E11" i="3"/>
  <c r="F11" i="3" s="1"/>
  <c r="D7" i="3"/>
  <c r="H5" i="3"/>
  <c r="G5" i="3"/>
  <c r="F5" i="3"/>
  <c r="I4" i="3"/>
  <c r="H4" i="3"/>
  <c r="G4" i="3"/>
  <c r="F4" i="3"/>
  <c r="D135" i="42"/>
  <c r="G135" i="42" s="1"/>
  <c r="C135" i="42"/>
  <c r="A135" i="42"/>
  <c r="B132" i="42" s="1"/>
  <c r="L134" i="42"/>
  <c r="K134" i="42"/>
  <c r="G134" i="42"/>
  <c r="C137" i="42" s="1"/>
  <c r="E134" i="42"/>
  <c r="F137" i="42" s="1"/>
  <c r="D126" i="42"/>
  <c r="G126" i="42" s="1"/>
  <c r="A126" i="42"/>
  <c r="B123" i="42" s="1"/>
  <c r="L125" i="42"/>
  <c r="K125" i="42"/>
  <c r="J125" i="42"/>
  <c r="G125" i="42"/>
  <c r="B128" i="42" s="1"/>
  <c r="G128" i="42" s="1"/>
  <c r="E125" i="42"/>
  <c r="F128" i="42" s="1"/>
  <c r="D116" i="42"/>
  <c r="F107" i="42" s="1"/>
  <c r="E109" i="42"/>
  <c r="E116" i="42" s="1"/>
  <c r="H107" i="42"/>
  <c r="D107" i="42"/>
  <c r="D99" i="42"/>
  <c r="G99" i="42" s="1"/>
  <c r="C99" i="42"/>
  <c r="A99" i="42"/>
  <c r="B96" i="42" s="1"/>
  <c r="L98" i="42"/>
  <c r="K98" i="42"/>
  <c r="G98" i="42"/>
  <c r="C101" i="42" s="1"/>
  <c r="F101" i="42"/>
  <c r="D90" i="42"/>
  <c r="G90" i="42" s="1"/>
  <c r="A90" i="42"/>
  <c r="B87" i="42" s="1"/>
  <c r="L89" i="42"/>
  <c r="K89" i="42"/>
  <c r="G89" i="42"/>
  <c r="C92" i="42" s="1"/>
  <c r="F89" i="42"/>
  <c r="F83" i="42"/>
  <c r="D81" i="42"/>
  <c r="G81" i="42" s="1"/>
  <c r="C81" i="42"/>
  <c r="F81" i="42" s="1"/>
  <c r="A81" i="42"/>
  <c r="B78" i="42" s="1"/>
  <c r="L80" i="42"/>
  <c r="K80" i="42"/>
  <c r="G80" i="42"/>
  <c r="B83" i="42" s="1"/>
  <c r="G83" i="42" s="1"/>
  <c r="F80" i="42"/>
  <c r="F74" i="42"/>
  <c r="D72" i="42"/>
  <c r="G72" i="42" s="1"/>
  <c r="C72" i="42"/>
  <c r="A72" i="42"/>
  <c r="B69" i="42" s="1"/>
  <c r="L71" i="42"/>
  <c r="K71" i="42"/>
  <c r="G71" i="42"/>
  <c r="C74" i="42" s="1"/>
  <c r="F71" i="42"/>
  <c r="F65" i="42"/>
  <c r="G63" i="42"/>
  <c r="C63" i="42"/>
  <c r="F63" i="42" s="1"/>
  <c r="A63" i="42"/>
  <c r="B60" i="42" s="1"/>
  <c r="L62" i="42"/>
  <c r="K62" i="42"/>
  <c r="G62" i="42"/>
  <c r="C65" i="42" s="1"/>
  <c r="F62" i="42"/>
  <c r="F56" i="42"/>
  <c r="D54" i="42"/>
  <c r="G54" i="42" s="1"/>
  <c r="C54" i="42"/>
  <c r="F54" i="42" s="1"/>
  <c r="A54" i="42"/>
  <c r="B51" i="42" s="1"/>
  <c r="L53" i="42"/>
  <c r="K53" i="42"/>
  <c r="G53" i="42"/>
  <c r="B56" i="42" s="1"/>
  <c r="F53" i="42"/>
  <c r="D45" i="42"/>
  <c r="G45" i="42" s="1"/>
  <c r="C45" i="42"/>
  <c r="A45" i="42"/>
  <c r="B42" i="42" s="1"/>
  <c r="L44" i="42"/>
  <c r="K44" i="42"/>
  <c r="G44" i="42"/>
  <c r="C47" i="42" s="1"/>
  <c r="E44" i="42"/>
  <c r="F44" i="42" s="1"/>
  <c r="D37" i="42"/>
  <c r="G37" i="42" s="1"/>
  <c r="C37" i="42"/>
  <c r="A37" i="42"/>
  <c r="B34" i="42" s="1"/>
  <c r="L36" i="42"/>
  <c r="K36" i="42"/>
  <c r="G36" i="42"/>
  <c r="C39" i="42" s="1"/>
  <c r="E36" i="42"/>
  <c r="F36" i="42" s="1"/>
  <c r="D29" i="42"/>
  <c r="G29" i="42" s="1"/>
  <c r="C29" i="42"/>
  <c r="A29" i="42"/>
  <c r="B26" i="42" s="1"/>
  <c r="L28" i="42"/>
  <c r="K28" i="42"/>
  <c r="G28" i="42"/>
  <c r="C31" i="42" s="1"/>
  <c r="E28" i="42"/>
  <c r="F31" i="42" s="1"/>
  <c r="D20" i="42"/>
  <c r="G18" i="42"/>
  <c r="H18" i="42" s="1"/>
  <c r="F17" i="42"/>
  <c r="G17" i="42" s="1"/>
  <c r="H17" i="42" s="1"/>
  <c r="F16" i="42"/>
  <c r="G16" i="42" s="1"/>
  <c r="H16" i="42" s="1"/>
  <c r="F15" i="42"/>
  <c r="G15" i="42" s="1"/>
  <c r="H15" i="42" s="1"/>
  <c r="G14" i="42"/>
  <c r="H14" i="42" s="1"/>
  <c r="F14" i="42"/>
  <c r="G12" i="42"/>
  <c r="H12" i="42" s="1"/>
  <c r="F12" i="42"/>
  <c r="F10" i="42"/>
  <c r="G10" i="42" s="1"/>
  <c r="H10" i="42" s="1"/>
  <c r="L9" i="42"/>
  <c r="G9" i="42"/>
  <c r="H9" i="42" s="1"/>
  <c r="F9" i="42"/>
  <c r="E8" i="42"/>
  <c r="F8" i="42" s="1"/>
  <c r="G7" i="42"/>
  <c r="G6" i="42"/>
  <c r="F6" i="42"/>
  <c r="E4" i="42"/>
  <c r="H2" i="42"/>
  <c r="F109" i="42" s="1"/>
  <c r="F116" i="42" s="1"/>
  <c r="C44" i="1"/>
  <c r="C45" i="1" s="1"/>
  <c r="C35" i="1"/>
  <c r="D23" i="1"/>
  <c r="C21" i="1"/>
  <c r="D25" i="1" s="1"/>
  <c r="G21" i="1"/>
  <c r="D42" i="1" s="1"/>
  <c r="H17" i="1"/>
  <c r="H16" i="1"/>
  <c r="G16" i="1"/>
  <c r="C16" i="1"/>
  <c r="J15" i="1"/>
  <c r="I15" i="1"/>
  <c r="F15" i="1"/>
  <c r="E15" i="1"/>
  <c r="C15" i="1"/>
  <c r="J14" i="1"/>
  <c r="I14" i="1"/>
  <c r="F14" i="1"/>
  <c r="E14" i="1"/>
  <c r="C14" i="1"/>
  <c r="J13" i="1"/>
  <c r="I13" i="1"/>
  <c r="F13" i="1"/>
  <c r="E13" i="1"/>
  <c r="C13" i="1"/>
  <c r="J12" i="1"/>
  <c r="I12" i="1"/>
  <c r="F12" i="1"/>
  <c r="E12" i="1"/>
  <c r="C12" i="1"/>
  <c r="J11" i="1"/>
  <c r="I11" i="1"/>
  <c r="F11" i="1"/>
  <c r="E11" i="1"/>
  <c r="C11" i="1"/>
  <c r="J10" i="1"/>
  <c r="I10" i="1"/>
  <c r="F10" i="1"/>
  <c r="E10" i="1"/>
  <c r="C10" i="1"/>
  <c r="J9" i="1"/>
  <c r="I9" i="1"/>
  <c r="F9" i="1"/>
  <c r="E9" i="1"/>
  <c r="C9" i="1"/>
  <c r="J8" i="1"/>
  <c r="I8" i="1"/>
  <c r="F8" i="1"/>
  <c r="E8" i="1"/>
  <c r="I7" i="1"/>
  <c r="F7" i="1"/>
  <c r="I6" i="1"/>
  <c r="F6" i="1"/>
  <c r="I5" i="1"/>
  <c r="F5" i="1"/>
  <c r="I4" i="1"/>
  <c r="F4" i="1"/>
  <c r="J4" i="1" s="1"/>
  <c r="E4" i="1"/>
  <c r="F22" i="7"/>
  <c r="E22" i="7"/>
  <c r="D22" i="7"/>
  <c r="M21" i="7"/>
  <c r="D21" i="7"/>
  <c r="J28" i="7"/>
  <c r="L31" i="7"/>
  <c r="L21" i="7"/>
  <c r="K31" i="7"/>
  <c r="F21" i="7"/>
  <c r="E21" i="7"/>
  <c r="M19" i="7"/>
  <c r="H70" i="3" l="1"/>
  <c r="G55" i="42"/>
  <c r="I53" i="42" s="1"/>
  <c r="M28" i="3"/>
  <c r="M30" i="3" s="1"/>
  <c r="G38" i="3"/>
  <c r="G25" i="3"/>
  <c r="I25" i="3" s="1"/>
  <c r="E47" i="3"/>
  <c r="F47" i="3" s="1"/>
  <c r="G13" i="3"/>
  <c r="I13" i="3" s="1"/>
  <c r="B29" i="3"/>
  <c r="C30" i="3" s="1"/>
  <c r="C5" i="1"/>
  <c r="E5" i="1" s="1"/>
  <c r="G6" i="3"/>
  <c r="I6" i="3" s="1"/>
  <c r="G45" i="3"/>
  <c r="I45" i="3" s="1"/>
  <c r="H52" i="3"/>
  <c r="H53" i="3" s="1"/>
  <c r="D29" i="3"/>
  <c r="H45" i="3"/>
  <c r="J68" i="3"/>
  <c r="B69" i="3"/>
  <c r="G19" i="3"/>
  <c r="I19" i="3" s="1"/>
  <c r="K82" i="3"/>
  <c r="E63" i="3"/>
  <c r="B51" i="3"/>
  <c r="F51" i="3" s="1"/>
  <c r="G51" i="3" s="1"/>
  <c r="G63" i="3"/>
  <c r="H21" i="7"/>
  <c r="I21" i="7" s="1"/>
  <c r="K21" i="7" s="1"/>
  <c r="H24" i="7"/>
  <c r="H22" i="7"/>
  <c r="J22" i="7"/>
  <c r="B9" i="7"/>
  <c r="I10" i="7" s="1"/>
  <c r="L6" i="7"/>
  <c r="J36" i="7"/>
  <c r="F7" i="7"/>
  <c r="F6" i="7"/>
  <c r="F9" i="7"/>
  <c r="G7" i="7"/>
  <c r="G8" i="7" s="1"/>
  <c r="I6" i="7" s="1"/>
  <c r="C9" i="7"/>
  <c r="G32" i="7"/>
  <c r="F37" i="7" s="1"/>
  <c r="H38" i="7"/>
  <c r="B37" i="7"/>
  <c r="E32" i="7"/>
  <c r="G87" i="3"/>
  <c r="I16" i="1"/>
  <c r="F16" i="1"/>
  <c r="G30" i="42"/>
  <c r="I28" i="42" s="1"/>
  <c r="B74" i="42"/>
  <c r="G74" i="42" s="1"/>
  <c r="C83" i="42"/>
  <c r="B101" i="42"/>
  <c r="G101" i="42" s="1"/>
  <c r="C116" i="42"/>
  <c r="C119" i="42" s="1"/>
  <c r="C120" i="42" s="1"/>
  <c r="G100" i="42"/>
  <c r="I98" i="42" s="1"/>
  <c r="B31" i="42"/>
  <c r="G31" i="42" s="1"/>
  <c r="G38" i="42"/>
  <c r="I36" i="42" s="1"/>
  <c r="C56" i="42"/>
  <c r="E20" i="42"/>
  <c r="H7" i="42" s="1"/>
  <c r="J48" i="42"/>
  <c r="J57" i="42"/>
  <c r="G64" i="42"/>
  <c r="B65" i="42" s="1"/>
  <c r="G65" i="42" s="1"/>
  <c r="G73" i="42"/>
  <c r="I71" i="42" s="1"/>
  <c r="C128" i="42"/>
  <c r="I57" i="42"/>
  <c r="G56" i="42"/>
  <c r="B39" i="42"/>
  <c r="G39" i="42" s="1"/>
  <c r="G91" i="42"/>
  <c r="I89" i="42" s="1"/>
  <c r="B92" i="42"/>
  <c r="G92" i="42" s="1"/>
  <c r="G46" i="42"/>
  <c r="I44" i="42" s="1"/>
  <c r="B47" i="42"/>
  <c r="G47" i="42" s="1"/>
  <c r="G82" i="42"/>
  <c r="I80" i="42" s="1"/>
  <c r="G127" i="42"/>
  <c r="I125" i="42" s="1"/>
  <c r="G21" i="7"/>
  <c r="G136" i="42"/>
  <c r="I134" i="42" s="1"/>
  <c r="B137" i="42"/>
  <c r="G137" i="42" s="1"/>
  <c r="F78" i="42"/>
  <c r="F77" i="42" s="1"/>
  <c r="F13" i="42"/>
  <c r="G13" i="42" s="1"/>
  <c r="H13" i="42" s="1"/>
  <c r="F12" i="3"/>
  <c r="D23" i="7"/>
  <c r="F28" i="42"/>
  <c r="F18" i="42"/>
  <c r="C23" i="42"/>
  <c r="F4" i="42"/>
  <c r="G8" i="42"/>
  <c r="F11" i="42"/>
  <c r="G11" i="42" s="1"/>
  <c r="H11" i="42" s="1"/>
  <c r="M28" i="42"/>
  <c r="F126" i="42"/>
  <c r="H64" i="3"/>
  <c r="F45" i="42"/>
  <c r="M89" i="42"/>
  <c r="F90" i="42"/>
  <c r="F29" i="42"/>
  <c r="H87" i="3"/>
  <c r="I87" i="3" s="1"/>
  <c r="M44" i="42"/>
  <c r="F47" i="42"/>
  <c r="F134" i="42"/>
  <c r="F61" i="3"/>
  <c r="G22" i="7"/>
  <c r="F98" i="42"/>
  <c r="J21" i="7"/>
  <c r="E23" i="7"/>
  <c r="F92" i="42"/>
  <c r="I61" i="3"/>
  <c r="J61" i="3" s="1"/>
  <c r="H23" i="7"/>
  <c r="F37" i="42"/>
  <c r="F87" i="42"/>
  <c r="D43" i="1"/>
  <c r="D41" i="1"/>
  <c r="D45" i="1"/>
  <c r="D40" i="1"/>
  <c r="D39" i="1"/>
  <c r="D38" i="1"/>
  <c r="D44" i="1"/>
  <c r="C23" i="1"/>
  <c r="M134" i="42"/>
  <c r="F135" i="42"/>
  <c r="M98" i="42"/>
  <c r="F99" i="42"/>
  <c r="F72" i="42"/>
  <c r="F69" i="42"/>
  <c r="H85" i="3"/>
  <c r="I85" i="3"/>
  <c r="G109" i="42"/>
  <c r="M80" i="42"/>
  <c r="M125" i="42"/>
  <c r="F125" i="42"/>
  <c r="F96" i="42"/>
  <c r="F39" i="42"/>
  <c r="I23" i="7" l="1"/>
  <c r="C29" i="3"/>
  <c r="J5" i="1"/>
  <c r="C6" i="1" s="1"/>
  <c r="E30" i="3"/>
  <c r="C31" i="3"/>
  <c r="E31" i="3"/>
  <c r="G47" i="3"/>
  <c r="I24" i="7"/>
  <c r="K24" i="7" s="1"/>
  <c r="F29" i="3"/>
  <c r="G29" i="3" s="1"/>
  <c r="E29" i="3"/>
  <c r="C20" i="42"/>
  <c r="D23" i="42" s="1"/>
  <c r="G23" i="42" s="1"/>
  <c r="K23" i="7"/>
  <c r="C51" i="3"/>
  <c r="H6" i="42"/>
  <c r="I62" i="42"/>
  <c r="J66" i="42"/>
  <c r="J75" i="42" s="1"/>
  <c r="J84" i="42" s="1"/>
  <c r="J93" i="42" s="1"/>
  <c r="J102" i="42" s="1"/>
  <c r="H61" i="3"/>
  <c r="F69" i="3"/>
  <c r="G69" i="3" s="1"/>
  <c r="B66" i="3"/>
  <c r="C66" i="3" s="1"/>
  <c r="C69" i="3"/>
  <c r="D69" i="3"/>
  <c r="E69" i="3" s="1"/>
  <c r="G9" i="7"/>
  <c r="B39" i="7"/>
  <c r="C39" i="7" s="1"/>
  <c r="E37" i="7" s="1"/>
  <c r="C37" i="7"/>
  <c r="D37" i="7"/>
  <c r="H30" i="7"/>
  <c r="G37" i="7"/>
  <c r="H8" i="42"/>
  <c r="I66" i="42"/>
  <c r="I75" i="42" s="1"/>
  <c r="I84" i="42" s="1"/>
  <c r="I93" i="42" s="1"/>
  <c r="I102" i="42" s="1"/>
  <c r="I48" i="42"/>
  <c r="D119" i="42"/>
  <c r="F20" i="42"/>
  <c r="G4" i="42"/>
  <c r="G20" i="42" s="1"/>
  <c r="H20" i="42" s="1"/>
  <c r="C24" i="42"/>
  <c r="F23" i="42" s="1"/>
  <c r="G116" i="42"/>
  <c r="H116" i="42" s="1"/>
  <c r="H109" i="42"/>
  <c r="J85" i="3"/>
  <c r="F87" i="3"/>
  <c r="E6" i="1" l="1"/>
  <c r="J6" i="1"/>
  <c r="H4" i="42"/>
  <c r="C7" i="1" l="1"/>
  <c r="E7" i="1" l="1"/>
  <c r="E16" i="1" s="1" a="1"/>
  <c r="E16" i="1" s="1"/>
  <c r="J7" i="1"/>
  <c r="K224" i="45"/>
  <c r="C8" i="1" l="1"/>
  <c r="J16" i="1" a="1"/>
  <c r="J16" i="1" s="1"/>
  <c r="G25" i="1"/>
  <c r="G26" i="1" s="1"/>
  <c r="C20" i="1"/>
  <c r="L224" i="45"/>
  <c r="M224" i="45"/>
  <c r="C24" i="1" l="1"/>
  <c r="C27" i="1" s="1"/>
  <c r="K233" i="45"/>
  <c r="C28" i="1" l="1"/>
  <c r="C25" i="1"/>
  <c r="C26" i="1"/>
  <c r="L233" i="45"/>
  <c r="L221" i="45" s="1"/>
  <c r="K221" i="45"/>
  <c r="M233" i="45"/>
  <c r="K169" i="45" l="1"/>
  <c r="K165" i="45" s="1"/>
  <c r="K161" i="45" s="1"/>
  <c r="M22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DI" description="Conexão com a consulta 'CDI' na pasta de trabalho." type="5" refreshedVersion="8" background="1" saveData="1">
    <dbPr connection="Provider=Microsoft.Mashup.OleDb.1;Data Source=$Workbook$;Location=CDI;Extended Properties=&quot;&quot;" command="SELECT * FROM [CDI]"/>
  </connection>
  <connection id="2" xr16:uid="{00000000-0015-0000-FFFF-FFFF01000000}" keepAlive="1" name="Consulta - Cotação Atual" description="Conexão com a consulta 'Cotação Atual' na pasta de trabalho." type="5" refreshedVersion="8" background="1" saveData="1">
    <dbPr connection="Provider=Microsoft.Mashup.OleDb.1;Data Source=$Workbook$;Location=&quot;Cotação Atual&quot;;Extended Properties=&quot;&quot;" command="SELECT * FROM [Cotação Atual]"/>
  </connection>
  <connection id="3" xr16:uid="{00000000-0015-0000-FFFF-FFFF02000000}" keepAlive="1" name="Consulta - Cotação Dólar" description="Conexão com a consulta 'Cotação Dólar' na pasta de trabalho." type="5" refreshedVersion="8" background="1" saveData="1">
    <dbPr connection="Provider=Microsoft.Mashup.OleDb.1;Data Source=$Workbook$;Location=&quot;Cotação Dólar&quot;;Extended Properties=&quot;&quot;" command="SELECT * FROM [Cotação Dólar]"/>
  </connection>
</connections>
</file>

<file path=xl/sharedStrings.xml><?xml version="1.0" encoding="utf-8"?>
<sst xmlns="http://schemas.openxmlformats.org/spreadsheetml/2006/main" count="1407" uniqueCount="180">
  <si>
    <t>Mês</t>
  </si>
  <si>
    <t>Saldo</t>
  </si>
  <si>
    <t>Resultado</t>
  </si>
  <si>
    <t>IRPF</t>
  </si>
  <si>
    <t>Retiradas</t>
  </si>
  <si>
    <t>Aportes</t>
  </si>
  <si>
    <t>Evolução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</si>
  <si>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</si>
  <si>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</si>
  <si>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</si>
  <si>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</si>
  <si>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</si>
  <si>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</si>
  <si>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</si>
  <si>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</si>
  <si>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</si>
  <si>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</si>
  <si>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</si>
  <si>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</si>
  <si>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Média Mensal</t>
  </si>
  <si>
    <t>Previsão de Futuro</t>
  </si>
  <si>
    <t>PETR4</t>
  </si>
  <si>
    <t>Taxa mensal</t>
  </si>
  <si>
    <t>Anos</t>
  </si>
  <si>
    <t>Ações</t>
  </si>
  <si>
    <t>Número Meses</t>
  </si>
  <si>
    <t>Saldo Real</t>
  </si>
  <si>
    <t>Valor Presente</t>
  </si>
  <si>
    <t>Valor Futuro</t>
  </si>
  <si>
    <t xml:space="preserve"> </t>
  </si>
  <si>
    <t>Variação %</t>
  </si>
  <si>
    <t>Variação R$</t>
  </si>
  <si>
    <t>Renda Mensal</t>
  </si>
  <si>
    <t>Renda Mensal 50%</t>
  </si>
  <si>
    <t>Quantidade</t>
  </si>
  <si>
    <t>Vencimento</t>
  </si>
  <si>
    <t>Ação</t>
  </si>
  <si>
    <t>C/V</t>
  </si>
  <si>
    <t>Tipo</t>
  </si>
  <si>
    <t>Valor Atual</t>
  </si>
  <si>
    <t>Prêmio</t>
  </si>
  <si>
    <t>Strike</t>
  </si>
  <si>
    <t>Distancia</t>
  </si>
  <si>
    <t>Total Prêmio</t>
  </si>
  <si>
    <t>Lucro</t>
  </si>
  <si>
    <t>Total Compra</t>
  </si>
  <si>
    <t>% Premio Atual</t>
  </si>
  <si>
    <t>Corridos</t>
  </si>
  <si>
    <t>Úteis</t>
  </si>
  <si>
    <t>Venda</t>
  </si>
  <si>
    <t>PUT</t>
  </si>
  <si>
    <t>Resultado atual</t>
  </si>
  <si>
    <t>Alvo</t>
  </si>
  <si>
    <t>Saldo Atual</t>
  </si>
  <si>
    <t>Resultado Final</t>
  </si>
  <si>
    <t>Se der exercicio</t>
  </si>
  <si>
    <t>Se não der exercício</t>
  </si>
  <si>
    <t>% Premio</t>
  </si>
  <si>
    <t>Exercício</t>
  </si>
  <si>
    <t>Compra</t>
  </si>
  <si>
    <t>C</t>
  </si>
  <si>
    <t>V</t>
  </si>
  <si>
    <t>Dividendos</t>
  </si>
  <si>
    <t>Simulação de Rolagem</t>
  </si>
  <si>
    <t>% Lucro</t>
  </si>
  <si>
    <t>Aumento do Stike na Rolagem</t>
  </si>
  <si>
    <t>Vilson</t>
  </si>
  <si>
    <t>CALL</t>
  </si>
  <si>
    <t>Compra de CALL Longa</t>
  </si>
  <si>
    <t>PETRA293</t>
  </si>
  <si>
    <t>V▲</t>
  </si>
  <si>
    <t>Melhor Subir</t>
  </si>
  <si>
    <t>Resultado Geral</t>
  </si>
  <si>
    <t>Resultado Preço Médio</t>
  </si>
  <si>
    <t>Montagem</t>
  </si>
  <si>
    <t xml:space="preserve">Montagem </t>
  </si>
  <si>
    <t>Desmontagem</t>
  </si>
  <si>
    <t>Vr Intrinseco</t>
  </si>
  <si>
    <t>Vr Extrinseco</t>
  </si>
  <si>
    <t>PETRI359</t>
  </si>
  <si>
    <t>Vendida</t>
  </si>
  <si>
    <t xml:space="preserve">Venda de call </t>
  </si>
  <si>
    <t>Escolher strike otm com delta 30 ou menor</t>
  </si>
  <si>
    <t>Vender o ativo no minimo 10% acima do preço atual</t>
  </si>
  <si>
    <t>Lucro Final</t>
  </si>
  <si>
    <t>Data</t>
  </si>
  <si>
    <t>Valor</t>
  </si>
  <si>
    <t>Total</t>
  </si>
  <si>
    <t>Operação</t>
  </si>
  <si>
    <t>Lucro Atual</t>
  </si>
  <si>
    <t>Call Longa</t>
  </si>
  <si>
    <t>Deixei de ganhar</t>
  </si>
  <si>
    <t>PETRB356</t>
  </si>
  <si>
    <t>Simulação</t>
  </si>
  <si>
    <t>BreakEven</t>
  </si>
  <si>
    <t>Média de Aportes</t>
  </si>
  <si>
    <t>Ativo</t>
  </si>
  <si>
    <t>Cotação Atual</t>
  </si>
  <si>
    <t>Taxa Mensal</t>
  </si>
  <si>
    <t>Regra dos 72 para dobrar o capital</t>
  </si>
  <si>
    <t>Fechar Fora do Alvo</t>
  </si>
  <si>
    <t>Desmontagem Atual</t>
  </si>
  <si>
    <t>Finalizada em 08/02</t>
  </si>
  <si>
    <t>PETRO412</t>
  </si>
  <si>
    <t>PETRF440</t>
  </si>
  <si>
    <t>PETRO412W4</t>
  </si>
  <si>
    <t>PETRF515</t>
  </si>
  <si>
    <t>PETRL45</t>
  </si>
  <si>
    <t>Preço Médio</t>
  </si>
  <si>
    <t>Exercido</t>
  </si>
  <si>
    <t>Inicio</t>
  </si>
  <si>
    <t>Fim</t>
  </si>
  <si>
    <t>Situação</t>
  </si>
  <si>
    <t>Na abertura ►</t>
  </si>
  <si>
    <t>Atual ►</t>
  </si>
  <si>
    <t>Preço Atual</t>
  </si>
  <si>
    <t>PETRJ457</t>
  </si>
  <si>
    <t>Total Pago</t>
  </si>
  <si>
    <t xml:space="preserve">Preço </t>
  </si>
  <si>
    <t>Valor atual</t>
  </si>
  <si>
    <t>Sobre Valor Pago</t>
  </si>
  <si>
    <t>Data final</t>
  </si>
  <si>
    <t>Datacom</t>
  </si>
  <si>
    <t>Dividendos e JCP</t>
  </si>
  <si>
    <t>Lucro/Prejuízo</t>
  </si>
  <si>
    <t>Venda de Call sobre Preço médio</t>
  </si>
  <si>
    <t>Notional</t>
  </si>
  <si>
    <t>Média</t>
  </si>
  <si>
    <t>Resultado se exercido</t>
  </si>
  <si>
    <t>Total no ano</t>
  </si>
  <si>
    <t>Média 6 meses</t>
  </si>
  <si>
    <t>Premio CALL</t>
  </si>
  <si>
    <t>Cotação atual</t>
  </si>
  <si>
    <t>Lucro / Prejuízo</t>
  </si>
  <si>
    <t>Finalizada em 17/10</t>
  </si>
  <si>
    <t>Data Exercicio</t>
  </si>
  <si>
    <t>PETRN402</t>
  </si>
  <si>
    <t>PETRM395W4</t>
  </si>
  <si>
    <t>PETRA400W4</t>
  </si>
  <si>
    <t>PETRA399W5</t>
  </si>
  <si>
    <t>Acumulado Semanal</t>
  </si>
  <si>
    <t>PETRN367W1</t>
  </si>
  <si>
    <t>SIM</t>
  </si>
  <si>
    <t>PETRN380W2</t>
  </si>
  <si>
    <t>Delta</t>
  </si>
  <si>
    <t>Meses</t>
  </si>
  <si>
    <t>PETRB380W2</t>
  </si>
  <si>
    <t>Ajuste</t>
  </si>
  <si>
    <t>PETRB402</t>
  </si>
  <si>
    <t>PETRN407</t>
  </si>
  <si>
    <t>NÃO</t>
  </si>
  <si>
    <t>PETRN380W4</t>
  </si>
  <si>
    <t>PETRD380W1</t>
  </si>
  <si>
    <t>Tempo em anos</t>
  </si>
  <si>
    <t>BTCUSDT</t>
  </si>
  <si>
    <t>Exercicio</t>
  </si>
  <si>
    <t>Total Mensal</t>
  </si>
  <si>
    <t>Objetivo</t>
  </si>
  <si>
    <t>Aporte</t>
  </si>
  <si>
    <t>Juros Mensais</t>
  </si>
  <si>
    <t/>
  </si>
  <si>
    <t>ETHUSDT</t>
  </si>
  <si>
    <t>Prêmio BTC / U$</t>
  </si>
  <si>
    <t>Investido BTC / U$</t>
  </si>
  <si>
    <t>Prêmio Crypto / U$</t>
  </si>
  <si>
    <t>Crypto</t>
  </si>
  <si>
    <t>U$</t>
  </si>
  <si>
    <t>Abertura</t>
  </si>
  <si>
    <t>TAE</t>
  </si>
  <si>
    <t>Prazo</t>
  </si>
  <si>
    <t>Dias</t>
  </si>
  <si>
    <t>Média diária</t>
  </si>
  <si>
    <t>Preencher</t>
  </si>
  <si>
    <t>Média mensal</t>
  </si>
  <si>
    <t>Biance</t>
  </si>
  <si>
    <t>Bybit</t>
  </si>
  <si>
    <t>Corretora</t>
  </si>
  <si>
    <t>Total Abertas</t>
  </si>
  <si>
    <t>BNBUSDT</t>
  </si>
  <si>
    <t>PETRR389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</si>
</sst>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\-??_-;_-@"/>
    <numFmt numFmtId="165" formatCode="_-[$R$-416]\ * #,##0.00_-;\-[$R$-416]\ * #,##0.00_-;_-[$R$-416]\ * &quot;-&quot;??_-;_-@_-"/>
    <numFmt numFmtId="166" formatCode="_-&quot;R$ &quot;* #,##0.00_-;&quot;-R$ &quot;* #,##0.00_-;_-&quot;R$ &quot;* \-??_-;_-@_-"/>
    <numFmt numFmtId="167" formatCode="_-&quot;R$ &quot;* #,##0.00_-;&quot;-R$ &quot;* #,##0.00_-;_-&quot;R$ &quot;* \-??_-;_-@"/>
    <numFmt numFmtId="168" formatCode="d/mmm"/>
    <numFmt numFmtId="169" formatCode="&quot;R$ &quot;#,##0.00;[Red]&quot;-R$ &quot;#,##0.00"/>
    <numFmt numFmtId="170" formatCode="#,##0.00;[Red]#,##0.00"/>
    <numFmt numFmtId="171" formatCode="d/m/yyyy"/>
    <numFmt numFmtId="172" formatCode="[$R$ -416]#,##0.00"/>
    <numFmt numFmtId="173" formatCode="0.0000%"/>
    <numFmt numFmtId="174" formatCode="_-[$$-409]* #,##0.00_ ;_-[$$-409]* \-#,##0.00\ ;_-[$$-409]* &quot;-&quot;??_ ;_-@_ "/>
    <numFmt numFmtId="175" formatCode="0;[Red]0"/>
    <numFmt numFmtId="176" formatCode="0.000"/>
    <numFmt numFmtId="177" formatCode="0.00000000"/>
    <numFmt numFmtId="178" formatCode="_-[$$-409]* #,##0.00000000_ ;_-[$$-409]* \-#,##0.00000000\ ;_-[$$-409]* &quot;-&quot;????????_ ;_-@_ "/>
    <numFmt numFmtId="179" formatCode="_-[$$-409]* #,##0.00_ ;_-[$$-409]* \-#,##0.00\ ;_-[$$-409]* &quot;-&quot;????????_ ;_-@_ "/>
    <numFmt numFmtId="180" formatCode="[$-416]mmmm\-yy;@"/>
    <numFmt numFmtId="181" formatCode="_-[$$-409]* #,##0.000000_ ;_-[$$-409]* \-#,##0.000000\ ;_-[$$-409]* &quot;-&quot;??_ ;_-@_ 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0000"/>
      <name val="Arial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b/>
      <sz val="12"/>
      <color rgb="FF00000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color rgb="FF000000"/>
      <name val="Arial"/>
      <family val="2"/>
    </font>
    <font>
      <b/>
      <sz val="14"/>
      <color rgb="FF000000"/>
      <name val="Arial"/>
      <family val="2"/>
      <charset val="1"/>
    </font>
    <font>
      <b/>
      <sz val="16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4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sz val="18"/>
      <color rgb="FF000000"/>
      <name val="Arial"/>
      <family val="2"/>
    </font>
    <font>
      <sz val="11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8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61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4"/>
      <color theme="0"/>
      <name val="Arial"/>
      <family val="2"/>
    </font>
    <font>
      <sz val="11"/>
      <name val="Calibri"/>
      <family val="2"/>
    </font>
    <font>
      <b/>
      <sz val="12"/>
      <color rgb="FF006100"/>
      <name val="Calibri"/>
      <family val="2"/>
      <scheme val="minor"/>
    </font>
    <font>
      <sz val="12"/>
      <color theme="1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12"/>
      <color rgb="FF006100"/>
      <name val="Arial"/>
      <family val="2"/>
    </font>
    <font>
      <b/>
      <sz val="11"/>
      <color rgb="FF00FF00"/>
      <name val="Arial"/>
      <family val="2"/>
    </font>
    <font>
      <b/>
      <sz val="11"/>
      <color rgb="FFFF0000"/>
      <name val="Arial"/>
      <family val="2"/>
    </font>
    <font>
      <sz val="12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8DB3E2"/>
        <bgColor rgb="FF95B3D7"/>
      </patternFill>
    </fill>
    <fill>
      <patternFill patternType="solid">
        <fgColor rgb="FF548DD4"/>
        <bgColor rgb="FF4A86E8"/>
      </patternFill>
    </fill>
    <fill>
      <patternFill patternType="solid">
        <fgColor rgb="FFC4D79B"/>
        <bgColor rgb="FFC3D69B"/>
      </patternFill>
    </fill>
    <fill>
      <patternFill patternType="solid">
        <fgColor rgb="FFFFFFFF"/>
        <bgColor rgb="FFF2F2F2"/>
      </patternFill>
    </fill>
    <fill>
      <patternFill patternType="solid">
        <fgColor rgb="FF4A86E8"/>
        <bgColor rgb="FF548DD4"/>
      </patternFill>
    </fill>
    <fill>
      <patternFill patternType="solid">
        <fgColor rgb="FF00B050"/>
        <bgColor rgb="FFB7DEE8"/>
      </patternFill>
    </fill>
    <fill>
      <patternFill patternType="solid">
        <fgColor rgb="FFC6D9F0"/>
        <bgColor rgb="FFB7DEE8"/>
      </patternFill>
    </fill>
    <fill>
      <patternFill patternType="solid">
        <fgColor rgb="FFD6E3BC"/>
        <bgColor rgb="FFD7E4BD"/>
      </patternFill>
    </fill>
    <fill>
      <patternFill patternType="solid">
        <fgColor rgb="FFFFFF00"/>
        <bgColor rgb="FFC4D79B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theme="1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9CBF54"/>
      </patternFill>
    </fill>
    <fill>
      <patternFill patternType="solid">
        <fgColor theme="1"/>
        <bgColor theme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8CCE4"/>
        <bgColor rgb="FFB9CDE5"/>
      </patternFill>
    </fill>
    <fill>
      <patternFill patternType="solid">
        <fgColor theme="5" tint="0.59999389629810485"/>
        <bgColor rgb="FFB7DEE8"/>
      </patternFill>
    </fill>
    <fill>
      <patternFill patternType="solid">
        <fgColor rgb="FFC3D69B"/>
        <bgColor rgb="FFC2D69B"/>
      </patternFill>
    </fill>
    <fill>
      <patternFill patternType="solid">
        <fgColor rgb="FFB9CDE5"/>
        <bgColor rgb="FFB8CCE4"/>
      </patternFill>
    </fill>
    <fill>
      <patternFill patternType="solid">
        <fgColor theme="0" tint="-0.249977111117893"/>
        <bgColor rgb="FF9CBF54"/>
      </patternFill>
    </fill>
    <fill>
      <patternFill patternType="solid">
        <fgColor theme="0" tint="-0.249977111117893"/>
        <bgColor rgb="FFB7DEE8"/>
      </patternFill>
    </fill>
    <fill>
      <patternFill patternType="solid">
        <fgColor theme="0" tint="-0.249977111117893"/>
        <bgColor rgb="FFC4D79B"/>
      </patternFill>
    </fill>
    <fill>
      <patternFill patternType="solid">
        <fgColor theme="0" tint="-0.249977111117893"/>
        <bgColor rgb="FFB9CDE5"/>
      </patternFill>
    </fill>
    <fill>
      <patternFill patternType="solid">
        <fgColor theme="0" tint="-0.249977111117893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7E4BD"/>
      </patternFill>
    </fill>
    <fill>
      <patternFill patternType="solid">
        <fgColor theme="0" tint="-0.249977111117893"/>
        <bgColor rgb="FFC2D69B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B8CCE4"/>
      </patternFill>
    </fill>
    <fill>
      <patternFill patternType="solid">
        <fgColor theme="0"/>
        <bgColor rgb="FFC4D79B"/>
      </patternFill>
    </fill>
    <fill>
      <patternFill patternType="solid">
        <fgColor theme="0"/>
        <bgColor rgb="FF9CBF54"/>
      </patternFill>
    </fill>
    <fill>
      <patternFill patternType="solid">
        <fgColor theme="0"/>
        <bgColor rgb="FFB9CDE5"/>
      </patternFill>
    </fill>
    <fill>
      <patternFill patternType="solid">
        <fgColor theme="0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rgb="FF9CBF5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B7DEE8"/>
      </patternFill>
    </fill>
    <fill>
      <patternFill patternType="solid">
        <fgColor theme="9" tint="0.79998168889431442"/>
        <bgColor rgb="FFB7DEE8"/>
      </patternFill>
    </fill>
    <fill>
      <patternFill patternType="solid">
        <fgColor theme="7" tint="0.79998168889431442"/>
        <bgColor rgb="FFB7DEE8"/>
      </patternFill>
    </fill>
    <fill>
      <patternFill patternType="solid">
        <fgColor theme="7"/>
        <bgColor indexed="64"/>
      </patternFill>
    </fill>
    <fill>
      <patternFill patternType="solid">
        <fgColor rgb="FF808080"/>
        <bgColor theme="1"/>
      </patternFill>
    </fill>
    <fill>
      <patternFill patternType="solid">
        <fgColor rgb="FF80808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647896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  <xf numFmtId="0" fontId="43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13">
    <xf numFmtId="0" fontId="0" fillId="0" borderId="0" xfId="0"/>
    <xf numFmtId="165" fontId="4" fillId="6" borderId="1" xfId="0" applyNumberFormat="1" applyFont="1" applyFill="1" applyBorder="1" applyAlignment="1">
      <alignment horizontal="right" vertical="center"/>
    </xf>
    <xf numFmtId="10" fontId="4" fillId="0" borderId="4" xfId="2" applyNumberFormat="1" applyFont="1" applyBorder="1" applyAlignment="1">
      <alignment horizontal="center" vertical="center"/>
    </xf>
    <xf numFmtId="44" fontId="1" fillId="0" borderId="1" xfId="1" applyBorder="1"/>
    <xf numFmtId="10" fontId="3" fillId="6" borderId="1" xfId="0" applyNumberFormat="1" applyFont="1" applyFill="1" applyBorder="1" applyAlignment="1">
      <alignment horizontal="center" vertical="center"/>
    </xf>
    <xf numFmtId="10" fontId="5" fillId="0" borderId="0" xfId="0" applyNumberFormat="1" applyFont="1"/>
    <xf numFmtId="165" fontId="4" fillId="6" borderId="1" xfId="0" applyNumberFormat="1" applyFont="1" applyFill="1" applyBorder="1" applyAlignment="1">
      <alignment vertical="center"/>
    </xf>
    <xf numFmtId="165" fontId="0" fillId="0" borderId="0" xfId="0" applyNumberFormat="1"/>
    <xf numFmtId="0" fontId="3" fillId="9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 vertical="center"/>
    </xf>
    <xf numFmtId="169" fontId="5" fillId="0" borderId="1" xfId="0" applyNumberFormat="1" applyFont="1" applyBorder="1" applyAlignment="1">
      <alignment vertical="center"/>
    </xf>
    <xf numFmtId="0" fontId="3" fillId="11" borderId="1" xfId="0" applyFont="1" applyFill="1" applyBorder="1" applyAlignment="1">
      <alignment horizontal="center" vertical="center"/>
    </xf>
    <xf numFmtId="171" fontId="3" fillId="10" borderId="4" xfId="0" applyNumberFormat="1" applyFont="1" applyFill="1" applyBorder="1" applyAlignment="1">
      <alignment horizontal="center"/>
    </xf>
    <xf numFmtId="165" fontId="5" fillId="15" borderId="1" xfId="0" applyNumberFormat="1" applyFont="1" applyFill="1" applyBorder="1" applyAlignment="1">
      <alignment vertical="center"/>
    </xf>
    <xf numFmtId="10" fontId="4" fillId="17" borderId="1" xfId="2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169" fontId="0" fillId="11" borderId="1" xfId="0" applyNumberFormat="1" applyFill="1" applyBorder="1"/>
    <xf numFmtId="10" fontId="1" fillId="0" borderId="0" xfId="2" applyNumberFormat="1"/>
    <xf numFmtId="0" fontId="9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right" vertical="center"/>
    </xf>
    <xf numFmtId="0" fontId="5" fillId="0" borderId="0" xfId="0" applyFont="1" applyAlignment="1">
      <alignment vertical="center"/>
    </xf>
    <xf numFmtId="165" fontId="0" fillId="6" borderId="1" xfId="0" applyNumberFormat="1" applyFill="1" applyBorder="1" applyAlignment="1">
      <alignment horizontal="right" vertical="center"/>
    </xf>
    <xf numFmtId="0" fontId="14" fillId="9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/>
    </xf>
    <xf numFmtId="169" fontId="15" fillId="11" borderId="1" xfId="0" applyNumberFormat="1" applyFont="1" applyFill="1" applyBorder="1"/>
    <xf numFmtId="169" fontId="16" fillId="11" borderId="1" xfId="0" applyNumberFormat="1" applyFont="1" applyFill="1" applyBorder="1"/>
    <xf numFmtId="10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right"/>
    </xf>
    <xf numFmtId="171" fontId="3" fillId="11" borderId="8" xfId="0" applyNumberFormat="1" applyFont="1" applyFill="1" applyBorder="1" applyAlignment="1">
      <alignment vertical="center"/>
    </xf>
    <xf numFmtId="0" fontId="3" fillId="18" borderId="1" xfId="0" applyFont="1" applyFill="1" applyBorder="1" applyAlignment="1">
      <alignment horizontal="center"/>
    </xf>
    <xf numFmtId="0" fontId="3" fillId="18" borderId="9" xfId="0" applyFont="1" applyFill="1" applyBorder="1" applyAlignment="1">
      <alignment horizontal="center"/>
    </xf>
    <xf numFmtId="0" fontId="6" fillId="15" borderId="8" xfId="0" applyFont="1" applyFill="1" applyBorder="1" applyAlignment="1">
      <alignment horizontal="center" vertical="center"/>
    </xf>
    <xf numFmtId="169" fontId="16" fillId="15" borderId="9" xfId="0" applyNumberFormat="1" applyFont="1" applyFill="1" applyBorder="1" applyAlignment="1">
      <alignment vertical="center"/>
    </xf>
    <xf numFmtId="169" fontId="16" fillId="15" borderId="8" xfId="0" applyNumberFormat="1" applyFont="1" applyFill="1" applyBorder="1" applyAlignment="1">
      <alignment vertical="center"/>
    </xf>
    <xf numFmtId="10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171" fontId="3" fillId="10" borderId="1" xfId="0" applyNumberFormat="1" applyFont="1" applyFill="1" applyBorder="1"/>
    <xf numFmtId="10" fontId="0" fillId="6" borderId="6" xfId="0" applyNumberFormat="1" applyFill="1" applyBorder="1" applyAlignment="1">
      <alignment horizontal="center" vertical="center"/>
    </xf>
    <xf numFmtId="44" fontId="1" fillId="0" borderId="0" xfId="1" applyBorder="1" applyProtection="1"/>
    <xf numFmtId="0" fontId="3" fillId="21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10" fontId="3" fillId="6" borderId="0" xfId="0" applyNumberFormat="1" applyFont="1" applyFill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12" fillId="22" borderId="1" xfId="0" applyFont="1" applyFill="1" applyBorder="1" applyAlignment="1">
      <alignment horizontal="center" vertical="center"/>
    </xf>
    <xf numFmtId="0" fontId="3" fillId="23" borderId="2" xfId="0" applyFont="1" applyFill="1" applyBorder="1" applyAlignment="1">
      <alignment horizontal="center"/>
    </xf>
    <xf numFmtId="0" fontId="3" fillId="23" borderId="2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/>
    </xf>
    <xf numFmtId="0" fontId="6" fillId="24" borderId="1" xfId="0" applyFont="1" applyFill="1" applyBorder="1" applyAlignment="1">
      <alignment horizontal="center" vertical="center"/>
    </xf>
    <xf numFmtId="169" fontId="16" fillId="22" borderId="9" xfId="0" applyNumberFormat="1" applyFont="1" applyFill="1" applyBorder="1" applyAlignment="1">
      <alignment vertical="center"/>
    </xf>
    <xf numFmtId="169" fontId="16" fillId="22" borderId="8" xfId="0" applyNumberFormat="1" applyFont="1" applyFill="1" applyBorder="1" applyAlignment="1">
      <alignment vertical="center"/>
    </xf>
    <xf numFmtId="10" fontId="0" fillId="24" borderId="1" xfId="0" applyNumberFormat="1" applyFill="1" applyBorder="1" applyAlignment="1">
      <alignment horizontal="center" vertical="center"/>
    </xf>
    <xf numFmtId="169" fontId="0" fillId="24" borderId="1" xfId="0" applyNumberFormat="1" applyFill="1" applyBorder="1"/>
    <xf numFmtId="0" fontId="3" fillId="25" borderId="1" xfId="0" applyFont="1" applyFill="1" applyBorder="1" applyAlignment="1">
      <alignment horizontal="center"/>
    </xf>
    <xf numFmtId="0" fontId="3" fillId="25" borderId="9" xfId="0" applyFont="1" applyFill="1" applyBorder="1" applyAlignment="1">
      <alignment horizontal="center"/>
    </xf>
    <xf numFmtId="0" fontId="6" fillId="22" borderId="8" xfId="0" applyFont="1" applyFill="1" applyBorder="1" applyAlignment="1">
      <alignment horizontal="center" vertical="center"/>
    </xf>
    <xf numFmtId="10" fontId="0" fillId="26" borderId="8" xfId="0" applyNumberFormat="1" applyFill="1" applyBorder="1" applyAlignment="1">
      <alignment horizontal="center" vertical="center"/>
    </xf>
    <xf numFmtId="44" fontId="1" fillId="27" borderId="8" xfId="1" applyFill="1" applyBorder="1"/>
    <xf numFmtId="171" fontId="3" fillId="28" borderId="4" xfId="0" applyNumberFormat="1" applyFont="1" applyFill="1" applyBorder="1" applyAlignment="1">
      <alignment horizontal="center"/>
    </xf>
    <xf numFmtId="44" fontId="1" fillId="27" borderId="1" xfId="1" applyFill="1" applyBorder="1"/>
    <xf numFmtId="10" fontId="0" fillId="26" borderId="1" xfId="0" applyNumberFormat="1" applyFill="1" applyBorder="1" applyAlignment="1">
      <alignment horizontal="center" vertical="center"/>
    </xf>
    <xf numFmtId="169" fontId="4" fillId="22" borderId="1" xfId="0" applyNumberFormat="1" applyFont="1" applyFill="1" applyBorder="1" applyAlignment="1">
      <alignment vertical="center"/>
    </xf>
    <xf numFmtId="10" fontId="4" fillId="26" borderId="1" xfId="0" applyNumberFormat="1" applyFont="1" applyFill="1" applyBorder="1" applyAlignment="1">
      <alignment horizontal="center" vertical="center"/>
    </xf>
    <xf numFmtId="169" fontId="3" fillId="26" borderId="1" xfId="0" applyNumberFormat="1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 vertical="center"/>
    </xf>
    <xf numFmtId="171" fontId="3" fillId="22" borderId="1" xfId="0" applyNumberFormat="1" applyFont="1" applyFill="1" applyBorder="1" applyAlignment="1">
      <alignment horizontal="center" vertical="center"/>
    </xf>
    <xf numFmtId="10" fontId="3" fillId="26" borderId="1" xfId="0" applyNumberFormat="1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10" fontId="3" fillId="26" borderId="4" xfId="0" applyNumberFormat="1" applyFont="1" applyFill="1" applyBorder="1" applyAlignment="1">
      <alignment horizontal="center" vertical="center"/>
    </xf>
    <xf numFmtId="10" fontId="3" fillId="29" borderId="1" xfId="2" applyNumberFormat="1" applyFont="1" applyFill="1" applyBorder="1" applyAlignment="1" applyProtection="1">
      <alignment horizontal="center" vertical="center"/>
    </xf>
    <xf numFmtId="10" fontId="0" fillId="0" borderId="0" xfId="0" applyNumberFormat="1"/>
    <xf numFmtId="44" fontId="1" fillId="27" borderId="2" xfId="1" applyFill="1" applyBorder="1"/>
    <xf numFmtId="0" fontId="6" fillId="15" borderId="1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169" fontId="16" fillId="33" borderId="9" xfId="0" applyNumberFormat="1" applyFont="1" applyFill="1" applyBorder="1" applyAlignment="1">
      <alignment vertical="center"/>
    </xf>
    <xf numFmtId="169" fontId="16" fillId="33" borderId="8" xfId="0" applyNumberFormat="1" applyFont="1" applyFill="1" applyBorder="1" applyAlignment="1">
      <alignment vertical="center"/>
    </xf>
    <xf numFmtId="10" fontId="0" fillId="32" borderId="1" xfId="0" applyNumberFormat="1" applyFill="1" applyBorder="1" applyAlignment="1">
      <alignment horizontal="center" vertical="center"/>
    </xf>
    <xf numFmtId="169" fontId="0" fillId="32" borderId="1" xfId="0" applyNumberFormat="1" applyFill="1" applyBorder="1"/>
    <xf numFmtId="0" fontId="3" fillId="34" borderId="1" xfId="0" applyFont="1" applyFill="1" applyBorder="1" applyAlignment="1">
      <alignment horizontal="center"/>
    </xf>
    <xf numFmtId="171" fontId="3" fillId="33" borderId="1" xfId="0" applyNumberFormat="1" applyFont="1" applyFill="1" applyBorder="1" applyAlignment="1">
      <alignment horizontal="center" vertical="center"/>
    </xf>
    <xf numFmtId="10" fontId="3" fillId="35" borderId="1" xfId="0" applyNumberFormat="1" applyFont="1" applyFill="1" applyBorder="1" applyAlignment="1">
      <alignment horizontal="center" vertical="center"/>
    </xf>
    <xf numFmtId="10" fontId="3" fillId="35" borderId="4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4" fillId="18" borderId="1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169" fontId="4" fillId="37" borderId="9" xfId="0" applyNumberFormat="1" applyFont="1" applyFill="1" applyBorder="1" applyAlignment="1">
      <alignment horizontal="center" vertical="center"/>
    </xf>
    <xf numFmtId="44" fontId="8" fillId="0" borderId="1" xfId="1" applyFont="1" applyBorder="1"/>
    <xf numFmtId="10" fontId="8" fillId="0" borderId="1" xfId="0" applyNumberFormat="1" applyFont="1" applyBorder="1" applyAlignment="1">
      <alignment horizontal="center" vertical="center"/>
    </xf>
    <xf numFmtId="169" fontId="17" fillId="0" borderId="1" xfId="0" applyNumberFormat="1" applyFont="1" applyBorder="1" applyAlignment="1">
      <alignment vertical="center"/>
    </xf>
    <xf numFmtId="169" fontId="4" fillId="37" borderId="1" xfId="0" applyNumberFormat="1" applyFont="1" applyFill="1" applyBorder="1" applyAlignment="1">
      <alignment horizontal="center" vertical="center"/>
    </xf>
    <xf numFmtId="169" fontId="5" fillId="0" borderId="6" xfId="0" applyNumberFormat="1" applyFont="1" applyBorder="1" applyAlignment="1">
      <alignment vertical="center"/>
    </xf>
    <xf numFmtId="169" fontId="8" fillId="15" borderId="6" xfId="0" applyNumberFormat="1" applyFont="1" applyFill="1" applyBorder="1" applyAlignment="1">
      <alignment vertical="center"/>
    </xf>
    <xf numFmtId="10" fontId="8" fillId="6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vertical="center"/>
    </xf>
    <xf numFmtId="10" fontId="4" fillId="6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171" fontId="4" fillId="11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0" fontId="19" fillId="0" borderId="0" xfId="0" applyNumberFormat="1" applyFont="1" applyAlignment="1">
      <alignment vertical="center"/>
    </xf>
    <xf numFmtId="44" fontId="19" fillId="0" borderId="0" xfId="1" applyFont="1"/>
    <xf numFmtId="165" fontId="19" fillId="17" borderId="1" xfId="0" applyNumberFormat="1" applyFont="1" applyFill="1" applyBorder="1" applyAlignment="1">
      <alignment horizontal="right" vertical="center"/>
    </xf>
    <xf numFmtId="44" fontId="19" fillId="0" borderId="1" xfId="1" applyFont="1" applyBorder="1"/>
    <xf numFmtId="165" fontId="19" fillId="0" borderId="0" xfId="0" applyNumberFormat="1" applyFont="1" applyAlignment="1">
      <alignment vertical="center"/>
    </xf>
    <xf numFmtId="0" fontId="19" fillId="36" borderId="0" xfId="0" applyFont="1" applyFill="1" applyAlignment="1">
      <alignment vertical="center"/>
    </xf>
    <xf numFmtId="0" fontId="4" fillId="9" borderId="8" xfId="0" applyFont="1" applyFill="1" applyBorder="1" applyAlignment="1">
      <alignment horizontal="center" vertical="center" wrapText="1"/>
    </xf>
    <xf numFmtId="44" fontId="19" fillId="0" borderId="6" xfId="1" applyFont="1" applyBorder="1"/>
    <xf numFmtId="44" fontId="19" fillId="0" borderId="5" xfId="1" applyFont="1" applyBorder="1"/>
    <xf numFmtId="0" fontId="19" fillId="36" borderId="0" xfId="0" applyFont="1" applyFill="1"/>
    <xf numFmtId="165" fontId="19" fillId="0" borderId="0" xfId="0" applyNumberFormat="1" applyFont="1"/>
    <xf numFmtId="0" fontId="25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/>
    <xf numFmtId="0" fontId="4" fillId="5" borderId="1" xfId="0" quotePrefix="1" applyFont="1" applyFill="1" applyBorder="1" applyAlignment="1">
      <alignment horizontal="center"/>
    </xf>
    <xf numFmtId="164" fontId="4" fillId="5" borderId="1" xfId="0" applyNumberFormat="1" applyFont="1" applyFill="1" applyBorder="1" applyAlignment="1">
      <alignment horizontal="center"/>
    </xf>
    <xf numFmtId="44" fontId="19" fillId="0" borderId="2" xfId="1" applyFont="1" applyBorder="1"/>
    <xf numFmtId="10" fontId="19" fillId="6" borderId="3" xfId="0" applyNumberFormat="1" applyFont="1" applyFill="1" applyBorder="1" applyAlignment="1">
      <alignment horizontal="center" vertical="center"/>
    </xf>
    <xf numFmtId="10" fontId="19" fillId="0" borderId="2" xfId="2" applyNumberFormat="1" applyFont="1" applyBorder="1" applyAlignment="1" applyProtection="1">
      <alignment horizontal="center" vertical="center"/>
    </xf>
    <xf numFmtId="0" fontId="4" fillId="5" borderId="1" xfId="0" applyFont="1" applyFill="1" applyBorder="1" applyAlignment="1">
      <alignment horizontal="center"/>
    </xf>
    <xf numFmtId="167" fontId="4" fillId="5" borderId="1" xfId="0" applyNumberFormat="1" applyFont="1" applyFill="1" applyBorder="1" applyAlignment="1">
      <alignment horizontal="center"/>
    </xf>
    <xf numFmtId="10" fontId="19" fillId="6" borderId="4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left"/>
    </xf>
    <xf numFmtId="10" fontId="5" fillId="5" borderId="1" xfId="2" applyNumberFormat="1" applyFont="1" applyFill="1" applyBorder="1" applyAlignment="1" applyProtection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2" applyNumberFormat="1" applyFont="1" applyFill="1" applyBorder="1" applyAlignment="1" applyProtection="1">
      <alignment horizontal="center"/>
    </xf>
    <xf numFmtId="0" fontId="5" fillId="5" borderId="1" xfId="2" applyNumberFormat="1" applyFont="1" applyFill="1" applyBorder="1" applyAlignment="1" applyProtection="1">
      <alignment horizontal="center"/>
    </xf>
    <xf numFmtId="9" fontId="19" fillId="0" borderId="0" xfId="2" applyFont="1"/>
    <xf numFmtId="4" fontId="19" fillId="0" borderId="0" xfId="0" applyNumberFormat="1" applyFont="1"/>
    <xf numFmtId="10" fontId="25" fillId="0" borderId="0" xfId="2" applyNumberFormat="1" applyFont="1" applyBorder="1" applyProtection="1"/>
    <xf numFmtId="166" fontId="19" fillId="0" borderId="0" xfId="0" applyNumberFormat="1" applyFont="1"/>
    <xf numFmtId="168" fontId="5" fillId="0" borderId="0" xfId="0" applyNumberFormat="1" applyFont="1"/>
    <xf numFmtId="170" fontId="19" fillId="0" borderId="0" xfId="0" applyNumberFormat="1" applyFont="1"/>
    <xf numFmtId="170" fontId="0" fillId="0" borderId="0" xfId="0" applyNumberFormat="1"/>
    <xf numFmtId="44" fontId="19" fillId="0" borderId="0" xfId="0" applyNumberFormat="1" applyFont="1" applyAlignment="1">
      <alignment vertical="center"/>
    </xf>
    <xf numFmtId="10" fontId="0" fillId="0" borderId="0" xfId="2" applyNumberFormat="1" applyFont="1"/>
    <xf numFmtId="10" fontId="19" fillId="0" borderId="0" xfId="2" applyNumberFormat="1" applyFont="1" applyAlignment="1">
      <alignment vertical="center"/>
    </xf>
    <xf numFmtId="0" fontId="27" fillId="2" borderId="2" xfId="3" applyFont="1" applyBorder="1" applyAlignment="1">
      <alignment horizontal="center"/>
    </xf>
    <xf numFmtId="0" fontId="27" fillId="2" borderId="2" xfId="3" applyFont="1" applyBorder="1" applyAlignment="1">
      <alignment horizontal="center" vertical="center"/>
    </xf>
    <xf numFmtId="171" fontId="27" fillId="2" borderId="4" xfId="3" applyNumberFormat="1" applyFont="1" applyBorder="1" applyAlignment="1">
      <alignment horizontal="center"/>
    </xf>
    <xf numFmtId="0" fontId="27" fillId="2" borderId="1" xfId="3" applyFont="1" applyBorder="1" applyAlignment="1">
      <alignment horizontal="center"/>
    </xf>
    <xf numFmtId="44" fontId="4" fillId="0" borderId="0" xfId="1" applyFont="1" applyBorder="1"/>
    <xf numFmtId="44" fontId="19" fillId="0" borderId="0" xfId="1" applyFont="1" applyAlignment="1">
      <alignment vertical="center"/>
    </xf>
    <xf numFmtId="44" fontId="4" fillId="30" borderId="1" xfId="1" applyFont="1" applyFill="1" applyBorder="1"/>
    <xf numFmtId="169" fontId="16" fillId="33" borderId="1" xfId="0" applyNumberFormat="1" applyFont="1" applyFill="1" applyBorder="1" applyAlignment="1">
      <alignment vertical="center"/>
    </xf>
    <xf numFmtId="0" fontId="6" fillId="33" borderId="1" xfId="0" applyFont="1" applyFill="1" applyBorder="1" applyAlignment="1">
      <alignment horizontal="center" vertical="center"/>
    </xf>
    <xf numFmtId="10" fontId="4" fillId="0" borderId="0" xfId="2" applyNumberFormat="1" applyFont="1" applyBorder="1"/>
    <xf numFmtId="0" fontId="29" fillId="30" borderId="1" xfId="0" applyFont="1" applyFill="1" applyBorder="1" applyAlignment="1">
      <alignment horizontal="center" vertical="center"/>
    </xf>
    <xf numFmtId="10" fontId="30" fillId="30" borderId="1" xfId="2" applyNumberFormat="1" applyFont="1" applyFill="1" applyBorder="1" applyAlignment="1">
      <alignment horizontal="center" vertical="center"/>
    </xf>
    <xf numFmtId="165" fontId="30" fillId="30" borderId="1" xfId="2" applyNumberFormat="1" applyFont="1" applyFill="1" applyBorder="1" applyAlignment="1">
      <alignment vertical="center"/>
    </xf>
    <xf numFmtId="165" fontId="0" fillId="6" borderId="5" xfId="0" applyNumberFormat="1" applyFill="1" applyBorder="1" applyAlignment="1">
      <alignment horizontal="right" vertical="center"/>
    </xf>
    <xf numFmtId="44" fontId="0" fillId="6" borderId="1" xfId="1" applyFont="1" applyFill="1" applyBorder="1" applyAlignment="1">
      <alignment horizontal="right" vertical="center"/>
    </xf>
    <xf numFmtId="44" fontId="0" fillId="6" borderId="5" xfId="1" applyFont="1" applyFill="1" applyBorder="1" applyAlignment="1">
      <alignment horizontal="right" vertical="center"/>
    </xf>
    <xf numFmtId="44" fontId="0" fillId="11" borderId="1" xfId="1" applyFont="1" applyFill="1" applyBorder="1" applyAlignment="1">
      <alignment horizontal="right"/>
    </xf>
    <xf numFmtId="44" fontId="0" fillId="6" borderId="8" xfId="1" applyFont="1" applyFill="1" applyBorder="1" applyAlignment="1">
      <alignment horizontal="right" vertical="center"/>
    </xf>
    <xf numFmtId="0" fontId="12" fillId="3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4" fillId="0" borderId="0" xfId="1" applyNumberFormat="1" applyFont="1" applyBorder="1"/>
    <xf numFmtId="165" fontId="31" fillId="32" borderId="1" xfId="2" applyNumberFormat="1" applyFont="1" applyFill="1" applyBorder="1" applyAlignment="1">
      <alignment vertical="center"/>
    </xf>
    <xf numFmtId="169" fontId="4" fillId="17" borderId="1" xfId="0" applyNumberFormat="1" applyFont="1" applyFill="1" applyBorder="1" applyAlignment="1">
      <alignment horizontal="right" vertical="center"/>
    </xf>
    <xf numFmtId="10" fontId="4" fillId="17" borderId="1" xfId="0" applyNumberFormat="1" applyFont="1" applyFill="1" applyBorder="1" applyAlignment="1">
      <alignment horizontal="center" vertical="center"/>
    </xf>
    <xf numFmtId="173" fontId="21" fillId="0" borderId="0" xfId="2" applyNumberFormat="1" applyFont="1" applyAlignment="1">
      <alignment horizontal="center" vertical="center"/>
    </xf>
    <xf numFmtId="10" fontId="19" fillId="0" borderId="0" xfId="2" applyNumberFormat="1" applyFont="1"/>
    <xf numFmtId="2" fontId="19" fillId="0" borderId="0" xfId="0" applyNumberFormat="1" applyFont="1"/>
    <xf numFmtId="43" fontId="19" fillId="0" borderId="0" xfId="4" applyFont="1"/>
    <xf numFmtId="171" fontId="3" fillId="24" borderId="8" xfId="0" applyNumberFormat="1" applyFont="1" applyFill="1" applyBorder="1" applyAlignment="1">
      <alignment horizontal="center" vertical="center"/>
    </xf>
    <xf numFmtId="0" fontId="30" fillId="14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4" fillId="5" borderId="1" xfId="0" applyFont="1" applyFill="1" applyBorder="1" applyAlignment="1">
      <alignment horizontal="left"/>
    </xf>
    <xf numFmtId="167" fontId="19" fillId="0" borderId="0" xfId="0" applyNumberFormat="1" applyFont="1"/>
    <xf numFmtId="0" fontId="30" fillId="14" borderId="8" xfId="0" applyFont="1" applyFill="1" applyBorder="1" applyAlignment="1">
      <alignment horizontal="center" vertical="center"/>
    </xf>
    <xf numFmtId="172" fontId="35" fillId="16" borderId="1" xfId="0" applyNumberFormat="1" applyFont="1" applyFill="1" applyBorder="1" applyAlignment="1">
      <alignment horizontal="center" vertical="center"/>
    </xf>
    <xf numFmtId="43" fontId="19" fillId="0" borderId="0" xfId="0" applyNumberFormat="1" applyFont="1"/>
    <xf numFmtId="165" fontId="21" fillId="0" borderId="1" xfId="0" applyNumberFormat="1" applyFont="1" applyBorder="1" applyAlignment="1">
      <alignment vertical="center"/>
    </xf>
    <xf numFmtId="10" fontId="21" fillId="0" borderId="1" xfId="2" applyNumberFormat="1" applyFont="1" applyBorder="1" applyAlignment="1">
      <alignment horizontal="center" vertical="center"/>
    </xf>
    <xf numFmtId="169" fontId="21" fillId="0" borderId="0" xfId="1" quotePrefix="1" applyNumberFormat="1" applyFont="1" applyBorder="1" applyAlignment="1">
      <alignment vertical="center"/>
    </xf>
    <xf numFmtId="17" fontId="4" fillId="5" borderId="1" xfId="0" applyNumberFormat="1" applyFont="1" applyFill="1" applyBorder="1" applyAlignment="1">
      <alignment horizontal="center"/>
    </xf>
    <xf numFmtId="165" fontId="37" fillId="32" borderId="1" xfId="2" applyNumberFormat="1" applyFont="1" applyFill="1" applyBorder="1" applyAlignment="1">
      <alignment vertical="center"/>
    </xf>
    <xf numFmtId="0" fontId="38" fillId="12" borderId="1" xfId="0" applyFont="1" applyFill="1" applyBorder="1"/>
    <xf numFmtId="14" fontId="38" fillId="38" borderId="1" xfId="0" applyNumberFormat="1" applyFont="1" applyFill="1" applyBorder="1" applyAlignment="1">
      <alignment horizontal="center"/>
    </xf>
    <xf numFmtId="0" fontId="37" fillId="38" borderId="1" xfId="0" applyFont="1" applyFill="1" applyBorder="1" applyAlignment="1">
      <alignment horizontal="center"/>
    </xf>
    <xf numFmtId="165" fontId="38" fillId="32" borderId="1" xfId="2" applyNumberFormat="1" applyFont="1" applyFill="1" applyBorder="1" applyAlignment="1">
      <alignment vertical="center"/>
    </xf>
    <xf numFmtId="10" fontId="37" fillId="32" borderId="1" xfId="2" applyNumberFormat="1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/>
    </xf>
    <xf numFmtId="44" fontId="4" fillId="9" borderId="1" xfId="1" applyFont="1" applyFill="1" applyBorder="1" applyAlignment="1">
      <alignment horizontal="center"/>
    </xf>
    <xf numFmtId="44" fontId="8" fillId="9" borderId="1" xfId="0" applyNumberFormat="1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44" fontId="8" fillId="39" borderId="1" xfId="0" applyNumberFormat="1" applyFont="1" applyFill="1" applyBorder="1" applyAlignment="1">
      <alignment horizontal="center" vertical="center"/>
    </xf>
    <xf numFmtId="3" fontId="4" fillId="0" borderId="1" xfId="2" applyNumberFormat="1" applyFont="1" applyBorder="1" applyAlignment="1">
      <alignment horizontal="center" vertical="center"/>
    </xf>
    <xf numFmtId="14" fontId="4" fillId="0" borderId="1" xfId="2" applyNumberFormat="1" applyFont="1" applyBorder="1" applyAlignment="1">
      <alignment horizontal="center" vertical="center"/>
    </xf>
    <xf numFmtId="165" fontId="4" fillId="9" borderId="1" xfId="0" applyNumberFormat="1" applyFont="1" applyFill="1" applyBorder="1" applyAlignment="1">
      <alignment horizontal="center"/>
    </xf>
    <xf numFmtId="165" fontId="8" fillId="11" borderId="1" xfId="0" applyNumberFormat="1" applyFont="1" applyFill="1" applyBorder="1" applyAlignment="1">
      <alignment horizontal="center" vertical="center"/>
    </xf>
    <xf numFmtId="165" fontId="21" fillId="0" borderId="0" xfId="0" applyNumberFormat="1" applyFont="1" applyAlignment="1">
      <alignment vertical="center"/>
    </xf>
    <xf numFmtId="10" fontId="21" fillId="0" borderId="0" xfId="2" applyNumberFormat="1" applyFont="1" applyBorder="1" applyAlignment="1">
      <alignment horizontal="center" vertical="center"/>
    </xf>
    <xf numFmtId="2" fontId="4" fillId="11" borderId="1" xfId="0" applyNumberFormat="1" applyFont="1" applyFill="1" applyBorder="1" applyAlignment="1">
      <alignment horizontal="center" vertical="center"/>
    </xf>
    <xf numFmtId="14" fontId="38" fillId="38" borderId="1" xfId="0" applyNumberFormat="1" applyFont="1" applyFill="1" applyBorder="1"/>
    <xf numFmtId="165" fontId="28" fillId="0" borderId="1" xfId="0" applyNumberFormat="1" applyFont="1" applyBorder="1" applyAlignment="1">
      <alignment vertical="center"/>
    </xf>
    <xf numFmtId="0" fontId="19" fillId="0" borderId="0" xfId="0" applyFont="1" applyAlignment="1">
      <alignment horizontal="right"/>
    </xf>
    <xf numFmtId="44" fontId="21" fillId="0" borderId="1" xfId="1" applyFont="1" applyBorder="1"/>
    <xf numFmtId="14" fontId="4" fillId="40" borderId="1" xfId="0" applyNumberFormat="1" applyFont="1" applyFill="1" applyBorder="1" applyAlignment="1">
      <alignment horizontal="center"/>
    </xf>
    <xf numFmtId="44" fontId="4" fillId="40" borderId="1" xfId="1" applyFont="1" applyFill="1" applyBorder="1" applyAlignment="1">
      <alignment horizontal="center"/>
    </xf>
    <xf numFmtId="14" fontId="4" fillId="41" borderId="1" xfId="0" applyNumberFormat="1" applyFont="1" applyFill="1" applyBorder="1" applyAlignment="1">
      <alignment horizontal="center"/>
    </xf>
    <xf numFmtId="44" fontId="4" fillId="41" borderId="1" xfId="1" applyFont="1" applyFill="1" applyBorder="1" applyAlignment="1">
      <alignment horizontal="center"/>
    </xf>
    <xf numFmtId="43" fontId="5" fillId="5" borderId="1" xfId="4" applyFont="1" applyFill="1" applyBorder="1" applyAlignment="1" applyProtection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5" fontId="30" fillId="0" borderId="1" xfId="0" applyNumberFormat="1" applyFont="1" applyBorder="1" applyAlignment="1">
      <alignment vertical="center"/>
    </xf>
    <xf numFmtId="10" fontId="30" fillId="0" borderId="1" xfId="2" applyNumberFormat="1" applyFont="1" applyBorder="1" applyAlignment="1">
      <alignment horizontal="center" vertical="center"/>
    </xf>
    <xf numFmtId="0" fontId="21" fillId="0" borderId="1" xfId="4" applyNumberFormat="1" applyFont="1" applyBorder="1" applyAlignment="1">
      <alignment horizontal="center" vertical="center"/>
    </xf>
    <xf numFmtId="0" fontId="39" fillId="2" borderId="1" xfId="3" applyFont="1" applyBorder="1" applyAlignment="1">
      <alignment horizontal="center"/>
    </xf>
    <xf numFmtId="0" fontId="40" fillId="12" borderId="1" xfId="0" applyFont="1" applyFill="1" applyBorder="1" applyAlignment="1">
      <alignment horizontal="center" vertical="center"/>
    </xf>
    <xf numFmtId="14" fontId="40" fillId="38" borderId="1" xfId="0" applyNumberFormat="1" applyFont="1" applyFill="1" applyBorder="1" applyAlignment="1">
      <alignment horizontal="center" vertical="center"/>
    </xf>
    <xf numFmtId="165" fontId="32" fillId="32" borderId="1" xfId="2" applyNumberFormat="1" applyFont="1" applyFill="1" applyBorder="1" applyAlignment="1">
      <alignment vertical="center"/>
    </xf>
    <xf numFmtId="0" fontId="32" fillId="38" borderId="1" xfId="0" applyFont="1" applyFill="1" applyBorder="1" applyAlignment="1">
      <alignment horizontal="center"/>
    </xf>
    <xf numFmtId="10" fontId="32" fillId="32" borderId="1" xfId="2" applyNumberFormat="1" applyFont="1" applyFill="1" applyBorder="1" applyAlignment="1">
      <alignment horizontal="center" vertical="center"/>
    </xf>
    <xf numFmtId="0" fontId="39" fillId="2" borderId="1" xfId="3" applyFont="1" applyBorder="1" applyAlignment="1">
      <alignment horizontal="center" vertical="center"/>
    </xf>
    <xf numFmtId="171" fontId="39" fillId="2" borderId="1" xfId="3" applyNumberFormat="1" applyFont="1" applyBorder="1" applyAlignment="1">
      <alignment horizontal="center"/>
    </xf>
    <xf numFmtId="0" fontId="32" fillId="12" borderId="1" xfId="0" applyFont="1" applyFill="1" applyBorder="1" applyAlignment="1">
      <alignment horizontal="center"/>
    </xf>
    <xf numFmtId="0" fontId="41" fillId="32" borderId="1" xfId="0" applyFont="1" applyFill="1" applyBorder="1" applyAlignment="1">
      <alignment horizontal="center" vertical="center"/>
    </xf>
    <xf numFmtId="169" fontId="33" fillId="33" borderId="1" xfId="0" applyNumberFormat="1" applyFont="1" applyFill="1" applyBorder="1" applyAlignment="1">
      <alignment vertical="center"/>
    </xf>
    <xf numFmtId="169" fontId="40" fillId="32" borderId="1" xfId="0" applyNumberFormat="1" applyFont="1" applyFill="1" applyBorder="1"/>
    <xf numFmtId="0" fontId="41" fillId="33" borderId="1" xfId="0" applyFont="1" applyFill="1" applyBorder="1" applyAlignment="1">
      <alignment horizontal="center" vertical="center"/>
    </xf>
    <xf numFmtId="169" fontId="8" fillId="15" borderId="1" xfId="0" applyNumberFormat="1" applyFont="1" applyFill="1" applyBorder="1" applyAlignment="1">
      <alignment vertical="center"/>
    </xf>
    <xf numFmtId="0" fontId="10" fillId="13" borderId="1" xfId="0" applyFont="1" applyFill="1" applyBorder="1" applyAlignment="1">
      <alignment horizontal="center" vertical="center"/>
    </xf>
    <xf numFmtId="165" fontId="25" fillId="0" borderId="0" xfId="0" applyNumberFormat="1" applyFont="1"/>
    <xf numFmtId="10" fontId="21" fillId="0" borderId="0" xfId="2" quotePrefix="1" applyNumberFormat="1" applyFont="1" applyBorder="1" applyAlignment="1">
      <alignment vertical="center"/>
    </xf>
    <xf numFmtId="0" fontId="4" fillId="9" borderId="5" xfId="0" applyFont="1" applyFill="1" applyBorder="1"/>
    <xf numFmtId="0" fontId="4" fillId="9" borderId="6" xfId="0" applyFont="1" applyFill="1" applyBorder="1"/>
    <xf numFmtId="10" fontId="4" fillId="9" borderId="5" xfId="2" applyNumberFormat="1" applyFont="1" applyFill="1" applyBorder="1"/>
    <xf numFmtId="0" fontId="4" fillId="9" borderId="5" xfId="0" applyFont="1" applyFill="1" applyBorder="1" applyAlignment="1">
      <alignment horizontal="center"/>
    </xf>
    <xf numFmtId="2" fontId="32" fillId="38" borderId="1" xfId="0" applyNumberFormat="1" applyFont="1" applyFill="1" applyBorder="1" applyAlignment="1">
      <alignment horizontal="center"/>
    </xf>
    <xf numFmtId="10" fontId="28" fillId="0" borderId="0" xfId="2" applyNumberFormat="1" applyFont="1" applyBorder="1" applyAlignment="1">
      <alignment horizontal="center" vertical="center"/>
    </xf>
    <xf numFmtId="10" fontId="28" fillId="0" borderId="0" xfId="2" applyNumberFormat="1" applyFont="1" applyBorder="1" applyAlignment="1">
      <alignment vertical="center"/>
    </xf>
    <xf numFmtId="44" fontId="28" fillId="0" borderId="0" xfId="1" applyFont="1" applyBorder="1" applyAlignment="1">
      <alignment vertical="center"/>
    </xf>
    <xf numFmtId="44" fontId="28" fillId="0" borderId="0" xfId="1" applyFont="1" applyBorder="1" applyAlignment="1">
      <alignment horizontal="center" vertical="center"/>
    </xf>
    <xf numFmtId="175" fontId="21" fillId="0" borderId="0" xfId="1" quotePrefix="1" applyNumberFormat="1" applyFont="1" applyBorder="1" applyAlignment="1">
      <alignment vertical="center"/>
    </xf>
    <xf numFmtId="44" fontId="21" fillId="0" borderId="0" xfId="1" quotePrefix="1" applyFont="1" applyBorder="1" applyAlignment="1">
      <alignment vertical="center"/>
    </xf>
    <xf numFmtId="44" fontId="19" fillId="0" borderId="0" xfId="0" applyNumberFormat="1" applyFont="1"/>
    <xf numFmtId="175" fontId="19" fillId="0" borderId="0" xfId="0" applyNumberFormat="1" applyFont="1"/>
    <xf numFmtId="169" fontId="21" fillId="0" borderId="0" xfId="1" quotePrefix="1" applyNumberFormat="1" applyFont="1" applyBorder="1" applyAlignment="1">
      <alignment horizontal="center" vertical="center"/>
    </xf>
    <xf numFmtId="10" fontId="19" fillId="0" borderId="0" xfId="0" applyNumberFormat="1" applyFont="1" applyAlignment="1">
      <alignment vertical="center"/>
    </xf>
    <xf numFmtId="0" fontId="4" fillId="9" borderId="1" xfId="0" applyFont="1" applyFill="1" applyBorder="1"/>
    <xf numFmtId="0" fontId="8" fillId="11" borderId="1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vertical="center"/>
    </xf>
    <xf numFmtId="177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174" fontId="35" fillId="16" borderId="8" xfId="2" applyNumberFormat="1" applyFont="1" applyFill="1" applyBorder="1" applyAlignment="1">
      <alignment vertical="center"/>
    </xf>
    <xf numFmtId="174" fontId="30" fillId="0" borderId="1" xfId="0" applyNumberFormat="1" applyFont="1" applyBorder="1" applyAlignment="1">
      <alignment vertical="center"/>
    </xf>
    <xf numFmtId="174" fontId="8" fillId="11" borderId="1" xfId="0" applyNumberFormat="1" applyFont="1" applyFill="1" applyBorder="1" applyAlignment="1">
      <alignment horizontal="center" vertical="center"/>
    </xf>
    <xf numFmtId="177" fontId="30" fillId="0" borderId="1" xfId="0" applyNumberFormat="1" applyFont="1" applyBorder="1" applyAlignment="1">
      <alignment horizontal="center" vertical="center"/>
    </xf>
    <xf numFmtId="179" fontId="44" fillId="2" borderId="1" xfId="3" applyNumberFormat="1" applyFont="1" applyBorder="1"/>
    <xf numFmtId="0" fontId="45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78" fontId="19" fillId="0" borderId="0" xfId="0" applyNumberFormat="1" applyFont="1"/>
    <xf numFmtId="176" fontId="19" fillId="0" borderId="0" xfId="0" applyNumberFormat="1" applyFont="1"/>
    <xf numFmtId="0" fontId="19" fillId="0" borderId="0" xfId="0" quotePrefix="1" applyFont="1"/>
    <xf numFmtId="0" fontId="9" fillId="13" borderId="1" xfId="0" applyFont="1" applyFill="1" applyBorder="1" applyAlignment="1">
      <alignment horizontal="center" vertical="center"/>
    </xf>
    <xf numFmtId="174" fontId="21" fillId="0" borderId="1" xfId="0" applyNumberFormat="1" applyFont="1" applyBorder="1" applyAlignment="1">
      <alignment vertical="center"/>
    </xf>
    <xf numFmtId="174" fontId="22" fillId="16" borderId="1" xfId="2" applyNumberFormat="1" applyFont="1" applyFill="1" applyBorder="1" applyAlignment="1">
      <alignment vertical="center"/>
    </xf>
    <xf numFmtId="177" fontId="4" fillId="11" borderId="1" xfId="0" applyNumberFormat="1" applyFont="1" applyFill="1" applyBorder="1" applyAlignment="1">
      <alignment horizontal="center" vertical="center"/>
    </xf>
    <xf numFmtId="174" fontId="4" fillId="11" borderId="1" xfId="0" applyNumberFormat="1" applyFont="1" applyFill="1" applyBorder="1" applyAlignment="1">
      <alignment horizontal="center" vertical="center"/>
    </xf>
    <xf numFmtId="177" fontId="21" fillId="0" borderId="1" xfId="0" applyNumberFormat="1" applyFont="1" applyBorder="1" applyAlignment="1">
      <alignment horizontal="center" vertical="center"/>
    </xf>
    <xf numFmtId="14" fontId="4" fillId="11" borderId="1" xfId="0" applyNumberFormat="1" applyFont="1" applyFill="1" applyBorder="1" applyAlignment="1">
      <alignment horizontal="center" vertical="center"/>
    </xf>
    <xf numFmtId="174" fontId="21" fillId="0" borderId="4" xfId="0" applyNumberFormat="1" applyFont="1" applyBorder="1" applyAlignment="1">
      <alignment vertical="center"/>
    </xf>
    <xf numFmtId="10" fontId="21" fillId="45" borderId="1" xfId="2" applyNumberFormat="1" applyFont="1" applyFill="1" applyBorder="1" applyAlignment="1">
      <alignment horizontal="center" vertical="center"/>
    </xf>
    <xf numFmtId="174" fontId="46" fillId="44" borderId="1" xfId="0" applyNumberFormat="1" applyFont="1" applyFill="1" applyBorder="1" applyAlignment="1">
      <alignment vertical="center"/>
    </xf>
    <xf numFmtId="10" fontId="46" fillId="44" borderId="1" xfId="2" applyNumberFormat="1" applyFont="1" applyFill="1" applyBorder="1" applyAlignment="1">
      <alignment horizontal="center" vertical="center"/>
    </xf>
    <xf numFmtId="0" fontId="46" fillId="44" borderId="1" xfId="0" applyFont="1" applyFill="1" applyBorder="1" applyAlignment="1">
      <alignment horizontal="center" vertical="center"/>
    </xf>
    <xf numFmtId="177" fontId="46" fillId="44" borderId="1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174" fontId="21" fillId="0" borderId="1" xfId="0" applyNumberFormat="1" applyFont="1" applyBorder="1" applyAlignment="1">
      <alignment horizontal="center" vertical="center"/>
    </xf>
    <xf numFmtId="0" fontId="47" fillId="44" borderId="0" xfId="0" applyFont="1" applyFill="1"/>
    <xf numFmtId="174" fontId="46" fillId="44" borderId="4" xfId="0" applyNumberFormat="1" applyFont="1" applyFill="1" applyBorder="1" applyAlignment="1">
      <alignment vertical="center"/>
    </xf>
    <xf numFmtId="174" fontId="46" fillId="44" borderId="1" xfId="2" applyNumberFormat="1" applyFont="1" applyFill="1" applyBorder="1" applyAlignment="1">
      <alignment vertical="center"/>
    </xf>
    <xf numFmtId="174" fontId="46" fillId="44" borderId="1" xfId="0" applyNumberFormat="1" applyFont="1" applyFill="1" applyBorder="1" applyAlignment="1">
      <alignment horizontal="center" vertical="center"/>
    </xf>
    <xf numFmtId="179" fontId="46" fillId="44" borderId="1" xfId="3" applyNumberFormat="1" applyFont="1" applyFill="1" applyBorder="1" applyAlignment="1">
      <alignment horizontal="center"/>
    </xf>
    <xf numFmtId="14" fontId="46" fillId="44" borderId="1" xfId="0" applyNumberFormat="1" applyFont="1" applyFill="1" applyBorder="1" applyAlignment="1">
      <alignment horizontal="center" vertical="center"/>
    </xf>
    <xf numFmtId="179" fontId="48" fillId="2" borderId="1" xfId="3" applyNumberFormat="1" applyFont="1" applyBorder="1" applyAlignment="1">
      <alignment horizontal="center"/>
    </xf>
    <xf numFmtId="179" fontId="48" fillId="2" borderId="1" xfId="3" applyNumberFormat="1" applyFont="1" applyBorder="1"/>
    <xf numFmtId="174" fontId="19" fillId="0" borderId="0" xfId="0" applyNumberFormat="1" applyFont="1"/>
    <xf numFmtId="172" fontId="49" fillId="44" borderId="1" xfId="0" applyNumberFormat="1" applyFont="1" applyFill="1" applyBorder="1" applyAlignment="1">
      <alignment horizontal="center" vertical="center"/>
    </xf>
    <xf numFmtId="172" fontId="50" fillId="44" borderId="1" xfId="0" applyNumberFormat="1" applyFont="1" applyFill="1" applyBorder="1" applyAlignment="1">
      <alignment horizontal="center" vertical="center"/>
    </xf>
    <xf numFmtId="0" fontId="19" fillId="0" borderId="1" xfId="0" applyFont="1" applyBorder="1"/>
    <xf numFmtId="10" fontId="5" fillId="0" borderId="1" xfId="0" applyNumberFormat="1" applyFont="1" applyBorder="1"/>
    <xf numFmtId="10" fontId="49" fillId="44" borderId="1" xfId="2" applyNumberFormat="1" applyFont="1" applyFill="1" applyBorder="1" applyAlignment="1">
      <alignment horizontal="center" vertical="center"/>
    </xf>
    <xf numFmtId="10" fontId="50" fillId="44" borderId="1" xfId="2" applyNumberFormat="1" applyFont="1" applyFill="1" applyBorder="1" applyAlignment="1">
      <alignment horizontal="center" vertical="center"/>
    </xf>
    <xf numFmtId="0" fontId="46" fillId="44" borderId="1" xfId="0" applyFont="1" applyFill="1" applyBorder="1" applyAlignment="1">
      <alignment horizontal="center"/>
    </xf>
    <xf numFmtId="0" fontId="46" fillId="44" borderId="4" xfId="0" applyFont="1" applyFill="1" applyBorder="1" applyAlignment="1">
      <alignment horizontal="center"/>
    </xf>
    <xf numFmtId="0" fontId="46" fillId="44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179" fontId="46" fillId="44" borderId="1" xfId="3" applyNumberFormat="1" applyFont="1" applyFill="1" applyBorder="1"/>
    <xf numFmtId="174" fontId="46" fillId="44" borderId="8" xfId="2" applyNumberFormat="1" applyFont="1" applyFill="1" applyBorder="1" applyAlignment="1">
      <alignment vertical="center"/>
    </xf>
    <xf numFmtId="0" fontId="4" fillId="9" borderId="4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74" fontId="21" fillId="0" borderId="0" xfId="2" applyNumberFormat="1" applyFont="1" applyBorder="1" applyAlignment="1">
      <alignment horizontal="center" vertical="center"/>
    </xf>
    <xf numFmtId="181" fontId="19" fillId="0" borderId="0" xfId="0" applyNumberFormat="1" applyFont="1"/>
    <xf numFmtId="0" fontId="4" fillId="9" borderId="4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74" fontId="46" fillId="44" borderId="1" xfId="0" applyNumberFormat="1" applyFont="1" applyFill="1" applyBorder="1" applyAlignment="1">
      <alignment vertical="center" wrapText="1"/>
    </xf>
    <xf numFmtId="179" fontId="19" fillId="0" borderId="0" xfId="0" applyNumberFormat="1" applyFont="1"/>
    <xf numFmtId="0" fontId="4" fillId="9" borderId="1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/>
    </xf>
    <xf numFmtId="0" fontId="47" fillId="44" borderId="1" xfId="0" applyFont="1" applyFill="1" applyBorder="1" applyAlignment="1">
      <alignment horizontal="center"/>
    </xf>
    <xf numFmtId="0" fontId="46" fillId="46" borderId="1" xfId="0" applyFont="1" applyFill="1" applyBorder="1" applyAlignment="1">
      <alignment horizontal="center" vertical="center"/>
    </xf>
    <xf numFmtId="174" fontId="46" fillId="46" borderId="1" xfId="2" applyNumberFormat="1" applyFont="1" applyFill="1" applyBorder="1" applyAlignment="1">
      <alignment vertical="center"/>
    </xf>
    <xf numFmtId="10" fontId="46" fillId="46" borderId="1" xfId="2" applyNumberFormat="1" applyFont="1" applyFill="1" applyBorder="1" applyAlignment="1">
      <alignment horizontal="center" vertical="center"/>
    </xf>
    <xf numFmtId="174" fontId="46" fillId="46" borderId="1" xfId="0" applyNumberFormat="1" applyFont="1" applyFill="1" applyBorder="1" applyAlignment="1">
      <alignment vertical="center" wrapText="1"/>
    </xf>
    <xf numFmtId="174" fontId="46" fillId="46" borderId="1" xfId="0" applyNumberFormat="1" applyFont="1" applyFill="1" applyBorder="1" applyAlignment="1">
      <alignment vertical="center"/>
    </xf>
    <xf numFmtId="177" fontId="46" fillId="46" borderId="1" xfId="0" applyNumberFormat="1" applyFont="1" applyFill="1" applyBorder="1" applyAlignment="1">
      <alignment horizontal="center" vertical="center"/>
    </xf>
    <xf numFmtId="174" fontId="46" fillId="46" borderId="1" xfId="0" applyNumberFormat="1" applyFont="1" applyFill="1" applyBorder="1" applyAlignment="1">
      <alignment horizontal="center" vertical="center"/>
    </xf>
    <xf numFmtId="14" fontId="46" fillId="46" borderId="1" xfId="0" applyNumberFormat="1" applyFont="1" applyFill="1" applyBorder="1" applyAlignment="1">
      <alignment horizontal="center" vertical="center"/>
    </xf>
    <xf numFmtId="0" fontId="47" fillId="4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0" borderId="0" xfId="0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0" fontId="21" fillId="0" borderId="1" xfId="2" applyNumberFormat="1" applyFont="1" applyBorder="1" applyAlignment="1">
      <alignment horizontal="center" vertical="center"/>
    </xf>
    <xf numFmtId="176" fontId="19" fillId="0" borderId="0" xfId="0" applyNumberFormat="1" applyFont="1"/>
    <xf numFmtId="174" fontId="46" fillId="44" borderId="1" xfId="0" applyNumberFormat="1" applyFont="1" applyFill="1" applyBorder="1" applyAlignment="1">
      <alignment vertical="center"/>
    </xf>
    <xf numFmtId="10" fontId="46" fillId="44" borderId="1" xfId="2" applyNumberFormat="1" applyFont="1" applyFill="1" applyBorder="1" applyAlignment="1">
      <alignment horizontal="center" vertical="center"/>
    </xf>
    <xf numFmtId="0" fontId="46" fillId="44" borderId="1" xfId="0" applyFont="1" applyFill="1" applyBorder="1" applyAlignment="1">
      <alignment horizontal="center" vertical="center"/>
    </xf>
    <xf numFmtId="177" fontId="46" fillId="44" borderId="1" xfId="0" applyNumberFormat="1" applyFont="1" applyFill="1" applyBorder="1" applyAlignment="1">
      <alignment horizontal="center" vertical="center"/>
    </xf>
    <xf numFmtId="174" fontId="21" fillId="0" borderId="1" xfId="0" applyNumberFormat="1" applyFont="1" applyBorder="1" applyAlignment="1">
      <alignment horizontal="center" vertical="center"/>
    </xf>
    <xf numFmtId="174" fontId="46" fillId="44" borderId="4" xfId="0" applyNumberFormat="1" applyFont="1" applyFill="1" applyBorder="1" applyAlignment="1">
      <alignment vertical="center"/>
    </xf>
    <xf numFmtId="174" fontId="46" fillId="44" borderId="1" xfId="2" applyNumberFormat="1" applyFont="1" applyFill="1" applyBorder="1" applyAlignment="1">
      <alignment vertical="center"/>
    </xf>
    <xf numFmtId="174" fontId="46" fillId="44" borderId="1" xfId="0" applyNumberFormat="1" applyFont="1" applyFill="1" applyBorder="1" applyAlignment="1">
      <alignment horizontal="center" vertical="center"/>
    </xf>
    <xf numFmtId="14" fontId="46" fillId="44" borderId="1" xfId="0" applyNumberFormat="1" applyFont="1" applyFill="1" applyBorder="1" applyAlignment="1">
      <alignment horizontal="center" vertical="center"/>
    </xf>
    <xf numFmtId="0" fontId="46" fillId="46" borderId="1" xfId="0" applyFont="1" applyFill="1" applyBorder="1" applyAlignment="1">
      <alignment horizontal="center" vertical="center"/>
    </xf>
    <xf numFmtId="174" fontId="46" fillId="46" borderId="1" xfId="2" applyNumberFormat="1" applyFont="1" applyFill="1" applyBorder="1" applyAlignment="1">
      <alignment vertical="center"/>
    </xf>
    <xf numFmtId="10" fontId="46" fillId="46" borderId="1" xfId="2" applyNumberFormat="1" applyFont="1" applyFill="1" applyBorder="1" applyAlignment="1">
      <alignment horizontal="center" vertical="center"/>
    </xf>
    <xf numFmtId="174" fontId="46" fillId="46" borderId="1" xfId="0" applyNumberFormat="1" applyFont="1" applyFill="1" applyBorder="1" applyAlignment="1">
      <alignment vertical="center"/>
    </xf>
    <xf numFmtId="177" fontId="46" fillId="46" borderId="1" xfId="0" applyNumberFormat="1" applyFont="1" applyFill="1" applyBorder="1" applyAlignment="1">
      <alignment horizontal="center" vertical="center"/>
    </xf>
    <xf numFmtId="174" fontId="46" fillId="46" borderId="1" xfId="0" applyNumberFormat="1" applyFont="1" applyFill="1" applyBorder="1" applyAlignment="1">
      <alignment horizontal="center" vertical="center"/>
    </xf>
    <xf numFmtId="14" fontId="46" fillId="46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/>
    </xf>
    <xf numFmtId="0" fontId="22" fillId="4" borderId="3" xfId="0" applyFont="1" applyFill="1" applyBorder="1" applyAlignment="1">
      <alignment horizontal="center"/>
    </xf>
    <xf numFmtId="0" fontId="22" fillId="4" borderId="7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24" fillId="8" borderId="1" xfId="0" applyFont="1" applyFill="1" applyBorder="1" applyAlignment="1">
      <alignment horizontal="center" vertical="center"/>
    </xf>
    <xf numFmtId="172" fontId="42" fillId="16" borderId="1" xfId="0" applyNumberFormat="1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14" borderId="6" xfId="0" applyFont="1" applyFill="1" applyBorder="1" applyAlignment="1">
      <alignment horizontal="center" vertical="center"/>
    </xf>
    <xf numFmtId="171" fontId="4" fillId="10" borderId="4" xfId="0" applyNumberFormat="1" applyFont="1" applyFill="1" applyBorder="1" applyAlignment="1">
      <alignment horizontal="center"/>
    </xf>
    <xf numFmtId="171" fontId="4" fillId="10" borderId="6" xfId="0" applyNumberFormat="1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 vertical="center"/>
    </xf>
    <xf numFmtId="165" fontId="11" fillId="15" borderId="1" xfId="0" applyNumberFormat="1" applyFont="1" applyFill="1" applyBorder="1" applyAlignment="1">
      <alignment horizontal="center" vertical="center"/>
    </xf>
    <xf numFmtId="165" fontId="42" fillId="16" borderId="8" xfId="2" applyNumberFormat="1" applyFont="1" applyFill="1" applyBorder="1" applyAlignment="1">
      <alignment horizontal="center" vertical="center"/>
    </xf>
    <xf numFmtId="165" fontId="42" fillId="16" borderId="2" xfId="2" applyNumberFormat="1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10" fontId="28" fillId="0" borderId="8" xfId="2" applyNumberFormat="1" applyFont="1" applyBorder="1" applyAlignment="1">
      <alignment horizontal="center" vertical="center"/>
    </xf>
    <xf numFmtId="10" fontId="28" fillId="0" borderId="2" xfId="2" applyNumberFormat="1" applyFont="1" applyBorder="1" applyAlignment="1">
      <alignment horizontal="center" vertical="center"/>
    </xf>
    <xf numFmtId="14" fontId="11" fillId="11" borderId="8" xfId="0" applyNumberFormat="1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180" fontId="9" fillId="13" borderId="4" xfId="0" applyNumberFormat="1" applyFont="1" applyFill="1" applyBorder="1" applyAlignment="1">
      <alignment horizontal="center" vertical="center"/>
    </xf>
    <xf numFmtId="180" fontId="9" fillId="13" borderId="5" xfId="0" applyNumberFormat="1" applyFont="1" applyFill="1" applyBorder="1" applyAlignment="1">
      <alignment horizontal="center" vertical="center"/>
    </xf>
    <xf numFmtId="180" fontId="9" fillId="13" borderId="6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9" fillId="13" borderId="4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46" fillId="43" borderId="6" xfId="0" applyFont="1" applyFill="1" applyBorder="1" applyAlignment="1">
      <alignment horizontal="center" vertical="center"/>
    </xf>
    <xf numFmtId="0" fontId="46" fillId="44" borderId="4" xfId="0" applyFont="1" applyFill="1" applyBorder="1" applyAlignment="1">
      <alignment horizontal="center"/>
    </xf>
    <xf numFmtId="0" fontId="46" fillId="44" borderId="6" xfId="0" applyFont="1" applyFill="1" applyBorder="1" applyAlignment="1">
      <alignment horizontal="center"/>
    </xf>
    <xf numFmtId="165" fontId="26" fillId="32" borderId="8" xfId="2" applyNumberFormat="1" applyFont="1" applyFill="1" applyBorder="1" applyAlignment="1">
      <alignment horizontal="center" vertical="center"/>
    </xf>
    <xf numFmtId="165" fontId="26" fillId="32" borderId="2" xfId="2" applyNumberFormat="1" applyFont="1" applyFill="1" applyBorder="1" applyAlignment="1">
      <alignment horizontal="center" vertical="center"/>
    </xf>
    <xf numFmtId="44" fontId="4" fillId="30" borderId="8" xfId="1" applyFont="1" applyFill="1" applyBorder="1" applyAlignment="1">
      <alignment horizontal="center" vertical="center"/>
    </xf>
    <xf numFmtId="44" fontId="4" fillId="30" borderId="2" xfId="1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27" fillId="2" borderId="4" xfId="3" applyFont="1" applyBorder="1" applyAlignment="1">
      <alignment horizontal="center"/>
    </xf>
    <xf numFmtId="0" fontId="27" fillId="2" borderId="6" xfId="3" applyFont="1" applyBorder="1" applyAlignment="1">
      <alignment horizontal="center"/>
    </xf>
    <xf numFmtId="165" fontId="21" fillId="32" borderId="8" xfId="0" applyNumberFormat="1" applyFont="1" applyFill="1" applyBorder="1" applyAlignment="1">
      <alignment horizontal="center" vertical="center"/>
    </xf>
    <xf numFmtId="165" fontId="21" fillId="32" borderId="2" xfId="0" applyNumberFormat="1" applyFont="1" applyFill="1" applyBorder="1" applyAlignment="1">
      <alignment horizontal="center" vertical="center"/>
    </xf>
    <xf numFmtId="44" fontId="32" fillId="0" borderId="8" xfId="1" applyFont="1" applyBorder="1" applyAlignment="1">
      <alignment horizontal="center" vertical="center"/>
    </xf>
    <xf numFmtId="44" fontId="32" fillId="0" borderId="2" xfId="1" applyFont="1" applyBorder="1" applyAlignment="1">
      <alignment horizontal="center" vertical="center"/>
    </xf>
    <xf numFmtId="10" fontId="36" fillId="32" borderId="8" xfId="2" applyNumberFormat="1" applyFont="1" applyFill="1" applyBorder="1" applyAlignment="1">
      <alignment horizontal="center" vertical="center"/>
    </xf>
    <xf numFmtId="10" fontId="36" fillId="32" borderId="2" xfId="2" applyNumberFormat="1" applyFont="1" applyFill="1" applyBorder="1" applyAlignment="1">
      <alignment horizontal="center" vertical="center"/>
    </xf>
    <xf numFmtId="165" fontId="28" fillId="32" borderId="1" xfId="2" applyNumberFormat="1" applyFont="1" applyFill="1" applyBorder="1" applyAlignment="1">
      <alignment horizontal="center" vertical="center"/>
    </xf>
    <xf numFmtId="0" fontId="39" fillId="2" borderId="4" xfId="3" applyFont="1" applyBorder="1" applyAlignment="1">
      <alignment horizontal="center"/>
    </xf>
    <xf numFmtId="0" fontId="39" fillId="2" borderId="5" xfId="3" applyFont="1" applyBorder="1" applyAlignment="1">
      <alignment horizontal="center"/>
    </xf>
    <xf numFmtId="0" fontId="39" fillId="2" borderId="6" xfId="3" applyFont="1" applyBorder="1" applyAlignment="1">
      <alignment horizontal="center"/>
    </xf>
    <xf numFmtId="165" fontId="31" fillId="32" borderId="8" xfId="2" applyNumberFormat="1" applyFont="1" applyFill="1" applyBorder="1" applyAlignment="1">
      <alignment horizontal="center" vertical="center"/>
    </xf>
    <xf numFmtId="165" fontId="31" fillId="32" borderId="2" xfId="2" applyNumberFormat="1" applyFont="1" applyFill="1" applyBorder="1" applyAlignment="1">
      <alignment horizontal="center" vertical="center"/>
    </xf>
    <xf numFmtId="10" fontId="26" fillId="32" borderId="8" xfId="2" applyNumberFormat="1" applyFont="1" applyFill="1" applyBorder="1" applyAlignment="1">
      <alignment horizontal="center" vertical="center"/>
    </xf>
    <xf numFmtId="10" fontId="26" fillId="32" borderId="2" xfId="2" applyNumberFormat="1" applyFont="1" applyFill="1" applyBorder="1" applyAlignment="1">
      <alignment horizontal="center" vertical="center"/>
    </xf>
    <xf numFmtId="171" fontId="3" fillId="34" borderId="4" xfId="0" applyNumberFormat="1" applyFont="1" applyFill="1" applyBorder="1" applyAlignment="1">
      <alignment horizontal="center"/>
    </xf>
    <xf numFmtId="171" fontId="3" fillId="34" borderId="6" xfId="0" applyNumberFormat="1" applyFont="1" applyFill="1" applyBorder="1" applyAlignment="1">
      <alignment horizontal="center"/>
    </xf>
    <xf numFmtId="171" fontId="3" fillId="10" borderId="4" xfId="0" applyNumberFormat="1" applyFont="1" applyFill="1" applyBorder="1" applyAlignment="1">
      <alignment horizontal="center"/>
    </xf>
    <xf numFmtId="171" fontId="3" fillId="10" borderId="5" xfId="0" applyNumberFormat="1" applyFont="1" applyFill="1" applyBorder="1" applyAlignment="1">
      <alignment horizontal="center"/>
    </xf>
    <xf numFmtId="171" fontId="3" fillId="10" borderId="6" xfId="0" applyNumberFormat="1" applyFont="1" applyFill="1" applyBorder="1" applyAlignment="1">
      <alignment horizontal="center"/>
    </xf>
    <xf numFmtId="0" fontId="3" fillId="34" borderId="4" xfId="0" applyFont="1" applyFill="1" applyBorder="1" applyAlignment="1">
      <alignment horizontal="center"/>
    </xf>
    <xf numFmtId="0" fontId="3" fillId="34" borderId="5" xfId="0" applyFont="1" applyFill="1" applyBorder="1" applyAlignment="1">
      <alignment horizontal="center"/>
    </xf>
    <xf numFmtId="0" fontId="3" fillId="34" borderId="6" xfId="0" applyFont="1" applyFill="1" applyBorder="1" applyAlignment="1">
      <alignment horizontal="center"/>
    </xf>
    <xf numFmtId="171" fontId="3" fillId="25" borderId="4" xfId="0" applyNumberFormat="1" applyFont="1" applyFill="1" applyBorder="1" applyAlignment="1">
      <alignment horizontal="center"/>
    </xf>
    <xf numFmtId="171" fontId="3" fillId="25" borderId="6" xfId="0" applyNumberFormat="1" applyFont="1" applyFill="1" applyBorder="1" applyAlignment="1">
      <alignment horizontal="center"/>
    </xf>
    <xf numFmtId="165" fontId="26" fillId="32" borderId="8" xfId="0" applyNumberFormat="1" applyFont="1" applyFill="1" applyBorder="1" applyAlignment="1">
      <alignment horizontal="center" vertical="center"/>
    </xf>
    <xf numFmtId="165" fontId="26" fillId="32" borderId="2" xfId="0" applyNumberFormat="1" applyFont="1" applyFill="1" applyBorder="1" applyAlignment="1">
      <alignment horizontal="center" vertical="center"/>
    </xf>
    <xf numFmtId="0" fontId="3" fillId="32" borderId="8" xfId="0" applyFont="1" applyFill="1" applyBorder="1" applyAlignment="1">
      <alignment horizontal="center" vertical="center"/>
    </xf>
    <xf numFmtId="0" fontId="3" fillId="32" borderId="2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9" borderId="6" xfId="0" applyFont="1" applyFill="1" applyBorder="1" applyAlignment="1">
      <alignment horizontal="center" vertical="center"/>
    </xf>
    <xf numFmtId="0" fontId="4" fillId="30" borderId="4" xfId="0" applyFont="1" applyFill="1" applyBorder="1" applyAlignment="1">
      <alignment horizontal="left" vertical="top"/>
    </xf>
    <xf numFmtId="0" fontId="4" fillId="30" borderId="5" xfId="0" applyFont="1" applyFill="1" applyBorder="1" applyAlignment="1">
      <alignment horizontal="left" vertical="top"/>
    </xf>
    <xf numFmtId="0" fontId="4" fillId="30" borderId="6" xfId="0" applyFont="1" applyFill="1" applyBorder="1" applyAlignment="1">
      <alignment horizontal="left" vertical="top"/>
    </xf>
    <xf numFmtId="169" fontId="16" fillId="26" borderId="1" xfId="0" applyNumberFormat="1" applyFont="1" applyFill="1" applyBorder="1" applyAlignment="1">
      <alignment horizontal="center" vertical="center"/>
    </xf>
    <xf numFmtId="10" fontId="12" fillId="26" borderId="8" xfId="0" applyNumberFormat="1" applyFont="1" applyFill="1" applyBorder="1" applyAlignment="1">
      <alignment horizontal="center" vertical="center"/>
    </xf>
    <xf numFmtId="10" fontId="12" fillId="26" borderId="2" xfId="0" applyNumberFormat="1" applyFont="1" applyFill="1" applyBorder="1" applyAlignment="1">
      <alignment horizontal="center" vertical="center"/>
    </xf>
    <xf numFmtId="0" fontId="4" fillId="30" borderId="4" xfId="0" applyFont="1" applyFill="1" applyBorder="1" applyAlignment="1">
      <alignment horizontal="center" vertical="center"/>
    </xf>
    <xf numFmtId="0" fontId="4" fillId="30" borderId="5" xfId="0" applyFont="1" applyFill="1" applyBorder="1" applyAlignment="1">
      <alignment horizontal="center" vertical="center"/>
    </xf>
    <xf numFmtId="0" fontId="4" fillId="30" borderId="6" xfId="0" applyFont="1" applyFill="1" applyBorder="1" applyAlignment="1">
      <alignment horizontal="center" vertical="center"/>
    </xf>
    <xf numFmtId="171" fontId="3" fillId="28" borderId="4" xfId="0" applyNumberFormat="1" applyFont="1" applyFill="1" applyBorder="1" applyAlignment="1">
      <alignment horizontal="center"/>
    </xf>
    <xf numFmtId="171" fontId="3" fillId="28" borderId="5" xfId="0" applyNumberFormat="1" applyFont="1" applyFill="1" applyBorder="1" applyAlignment="1">
      <alignment horizontal="center"/>
    </xf>
    <xf numFmtId="171" fontId="3" fillId="28" borderId="6" xfId="0" applyNumberFormat="1" applyFont="1" applyFill="1" applyBorder="1" applyAlignment="1">
      <alignment horizontal="center"/>
    </xf>
    <xf numFmtId="169" fontId="0" fillId="11" borderId="8" xfId="0" applyNumberFormat="1" applyFill="1" applyBorder="1" applyAlignment="1">
      <alignment horizontal="center" vertical="center"/>
    </xf>
    <xf numFmtId="171" fontId="3" fillId="18" borderId="1" xfId="0" applyNumberFormat="1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 vertical="center"/>
    </xf>
    <xf numFmtId="169" fontId="16" fillId="6" borderId="1" xfId="0" applyNumberFormat="1" applyFont="1" applyFill="1" applyBorder="1" applyAlignment="1">
      <alignment horizontal="center" vertical="center"/>
    </xf>
    <xf numFmtId="9" fontId="3" fillId="20" borderId="1" xfId="2" applyFont="1" applyFill="1" applyBorder="1" applyAlignment="1" applyProtection="1">
      <alignment horizontal="center" vertical="center"/>
    </xf>
    <xf numFmtId="10" fontId="3" fillId="6" borderId="1" xfId="0" applyNumberFormat="1" applyFont="1" applyFill="1" applyBorder="1" applyAlignment="1">
      <alignment horizontal="center" vertical="center"/>
    </xf>
    <xf numFmtId="10" fontId="12" fillId="6" borderId="1" xfId="0" applyNumberFormat="1" applyFont="1" applyFill="1" applyBorder="1" applyAlignment="1">
      <alignment horizontal="center" vertical="center"/>
    </xf>
    <xf numFmtId="171" fontId="3" fillId="15" borderId="1" xfId="0" applyNumberFormat="1" applyFont="1" applyFill="1" applyBorder="1" applyAlignment="1">
      <alignment horizontal="center" vertical="center"/>
    </xf>
    <xf numFmtId="169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171" fontId="3" fillId="10" borderId="1" xfId="0" applyNumberFormat="1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170" fontId="0" fillId="24" borderId="1" xfId="0" applyNumberFormat="1" applyFill="1" applyBorder="1" applyAlignment="1">
      <alignment horizontal="right" vertical="center"/>
    </xf>
    <xf numFmtId="0" fontId="0" fillId="24" borderId="4" xfId="0" applyFill="1" applyBorder="1" applyAlignment="1">
      <alignment horizontal="right" vertical="center"/>
    </xf>
    <xf numFmtId="0" fontId="0" fillId="24" borderId="1" xfId="0" applyFill="1" applyBorder="1" applyAlignment="1">
      <alignment horizontal="right" vertical="center"/>
    </xf>
    <xf numFmtId="0" fontId="3" fillId="24" borderId="8" xfId="0" applyFont="1" applyFill="1" applyBorder="1" applyAlignment="1">
      <alignment horizontal="center" vertical="center"/>
    </xf>
    <xf numFmtId="0" fontId="3" fillId="24" borderId="2" xfId="0" applyFont="1" applyFill="1" applyBorder="1" applyAlignment="1">
      <alignment horizontal="center" vertical="center"/>
    </xf>
    <xf numFmtId="0" fontId="3" fillId="23" borderId="4" xfId="0" applyFont="1" applyFill="1" applyBorder="1" applyAlignment="1">
      <alignment horizontal="center"/>
    </xf>
    <xf numFmtId="0" fontId="3" fillId="23" borderId="6" xfId="0" applyFont="1" applyFill="1" applyBorder="1" applyAlignment="1">
      <alignment horizontal="center"/>
    </xf>
    <xf numFmtId="0" fontId="12" fillId="24" borderId="1" xfId="0" applyFont="1" applyFill="1" applyBorder="1" applyAlignment="1">
      <alignment horizontal="center" vertical="center"/>
    </xf>
    <xf numFmtId="0" fontId="12" fillId="24" borderId="8" xfId="0" applyFont="1" applyFill="1" applyBorder="1" applyAlignment="1">
      <alignment horizontal="center" vertical="center"/>
    </xf>
    <xf numFmtId="0" fontId="12" fillId="24" borderId="2" xfId="0" applyFont="1" applyFill="1" applyBorder="1" applyAlignment="1">
      <alignment horizontal="center" vertical="center"/>
    </xf>
    <xf numFmtId="169" fontId="0" fillId="24" borderId="8" xfId="0" applyNumberFormat="1" applyFill="1" applyBorder="1" applyAlignment="1">
      <alignment horizontal="center" vertical="center"/>
    </xf>
    <xf numFmtId="169" fontId="0" fillId="24" borderId="2" xfId="0" applyNumberFormat="1" applyFill="1" applyBorder="1" applyAlignment="1">
      <alignment horizontal="center" vertical="center"/>
    </xf>
    <xf numFmtId="0" fontId="3" fillId="29" borderId="4" xfId="0" applyFont="1" applyFill="1" applyBorder="1" applyAlignment="1">
      <alignment horizontal="center" vertical="center"/>
    </xf>
    <xf numFmtId="0" fontId="3" fillId="29" borderId="6" xfId="0" applyFont="1" applyFill="1" applyBorder="1" applyAlignment="1">
      <alignment horizontal="center" vertical="center"/>
    </xf>
    <xf numFmtId="10" fontId="28" fillId="0" borderId="1" xfId="2" applyNumberFormat="1" applyFont="1" applyBorder="1" applyAlignment="1">
      <alignment horizontal="center" vertical="center"/>
    </xf>
    <xf numFmtId="44" fontId="28" fillId="0" borderId="1" xfId="1" applyFont="1" applyBorder="1" applyAlignment="1">
      <alignment horizontal="center" vertical="center"/>
    </xf>
    <xf numFmtId="44" fontId="28" fillId="0" borderId="8" xfId="1" applyFont="1" applyBorder="1" applyAlignment="1">
      <alignment horizontal="center" vertical="center"/>
    </xf>
    <xf numFmtId="44" fontId="28" fillId="0" borderId="2" xfId="1" applyFont="1" applyBorder="1" applyAlignment="1">
      <alignment horizontal="center" vertical="center"/>
    </xf>
    <xf numFmtId="0" fontId="28" fillId="42" borderId="1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5" fontId="21" fillId="0" borderId="5" xfId="0" applyNumberFormat="1" applyFont="1" applyBorder="1" applyAlignment="1">
      <alignment horizontal="center" vertical="center"/>
    </xf>
    <xf numFmtId="165" fontId="21" fillId="0" borderId="6" xfId="0" applyNumberFormat="1" applyFont="1" applyBorder="1" applyAlignment="1">
      <alignment horizontal="center" vertical="center"/>
    </xf>
    <xf numFmtId="165" fontId="36" fillId="0" borderId="1" xfId="0" applyNumberFormat="1" applyFont="1" applyBorder="1" applyAlignment="1">
      <alignment horizontal="center" vertical="center"/>
    </xf>
    <xf numFmtId="10" fontId="36" fillId="0" borderId="1" xfId="2" applyNumberFormat="1" applyFont="1" applyBorder="1" applyAlignment="1">
      <alignment horizontal="center" vertical="center"/>
    </xf>
    <xf numFmtId="165" fontId="21" fillId="0" borderId="1" xfId="0" applyNumberFormat="1" applyFont="1" applyBorder="1" applyAlignment="1">
      <alignment horizontal="center" vertical="center"/>
    </xf>
    <xf numFmtId="0" fontId="24" fillId="19" borderId="4" xfId="0" applyFont="1" applyFill="1" applyBorder="1" applyAlignment="1">
      <alignment horizontal="center" vertical="center"/>
    </xf>
    <xf numFmtId="0" fontId="24" fillId="19" borderId="5" xfId="0" applyFont="1" applyFill="1" applyBorder="1" applyAlignment="1">
      <alignment horizontal="center" vertical="center"/>
    </xf>
    <xf numFmtId="0" fontId="24" fillId="19" borderId="6" xfId="0" applyFont="1" applyFill="1" applyBorder="1" applyAlignment="1">
      <alignment horizontal="center" vertical="center"/>
    </xf>
    <xf numFmtId="44" fontId="34" fillId="0" borderId="8" xfId="1" applyFont="1" applyBorder="1" applyAlignment="1">
      <alignment horizontal="center" vertical="center"/>
    </xf>
    <xf numFmtId="44" fontId="34" fillId="0" borderId="2" xfId="1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9" borderId="5" xfId="0" applyFont="1" applyFill="1" applyBorder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center" vertical="center"/>
    </xf>
    <xf numFmtId="0" fontId="19" fillId="14" borderId="6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169" fontId="20" fillId="0" borderId="8" xfId="0" applyNumberFormat="1" applyFont="1" applyBorder="1" applyAlignment="1">
      <alignment horizontal="center" vertical="center"/>
    </xf>
    <xf numFmtId="169" fontId="20" fillId="0" borderId="2" xfId="0" applyNumberFormat="1" applyFont="1" applyBorder="1" applyAlignment="1">
      <alignment horizontal="center" vertical="center"/>
    </xf>
    <xf numFmtId="10" fontId="11" fillId="0" borderId="8" xfId="0" applyNumberFormat="1" applyFont="1" applyBorder="1" applyAlignment="1">
      <alignment horizontal="center" vertical="center"/>
    </xf>
    <xf numFmtId="10" fontId="11" fillId="0" borderId="2" xfId="0" applyNumberFormat="1" applyFont="1" applyBorder="1" applyAlignment="1">
      <alignment horizontal="center" vertical="center"/>
    </xf>
  </cellXfs>
  <cellStyles count="8">
    <cellStyle name="Bom" xfId="3" builtinId="26"/>
    <cellStyle name="Moeda" xfId="1" builtinId="4"/>
    <cellStyle name="Moeda 2" xfId="6" xr:uid="{9EC8E8F4-20A7-4A93-A7C5-0926FAE9DFC7}"/>
    <cellStyle name="Normal" xfId="0" builtinId="0"/>
    <cellStyle name="Normal 2" xfId="5" xr:uid="{00000000-0005-0000-0000-000003000000}"/>
    <cellStyle name="Porcentagem" xfId="2" builtinId="5"/>
    <cellStyle name="Vírgula" xfId="4" builtinId="3"/>
    <cellStyle name="Vírgula 2" xfId="7" xr:uid="{3BB371A3-1CEE-473A-97C1-91BE303280FB}"/>
  </cellStyles>
  <dxfs count="65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color rgb="FFFFFFFF"/>
      </font>
      <fill>
        <gradientFill degree="90">
          <stop position="0">
            <color theme="0"/>
          </stop>
          <stop position="1">
            <color theme="9"/>
          </stop>
        </gradient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5B8B7"/>
        </patternFill>
      </fill>
    </dxf>
    <dxf>
      <fill>
        <patternFill>
          <bgColor rgb="FF92D050"/>
        </patternFill>
      </fill>
    </dxf>
    <dxf>
      <fill>
        <patternFill>
          <bgColor rgb="FFE5B8B7"/>
        </patternFill>
      </fill>
    </dxf>
    <dxf>
      <fill>
        <patternFill>
          <bgColor rgb="FF92D050"/>
        </patternFill>
      </fill>
    </dxf>
    <dxf>
      <fill>
        <patternFill>
          <bgColor rgb="FFE5B8B7"/>
        </patternFill>
      </fill>
    </dxf>
    <dxf>
      <fill>
        <patternFill>
          <bgColor rgb="FF92D050"/>
        </patternFill>
      </fill>
    </dxf>
    <dxf>
      <fill>
        <patternFill>
          <bgColor rgb="FFE5B8B7"/>
        </patternFill>
      </fill>
    </dxf>
    <dxf>
      <fill>
        <patternFill>
          <bgColor rgb="FF92D050"/>
        </patternFill>
      </fill>
    </dxf>
    <dxf>
      <fill>
        <patternFill>
          <bgColor rgb="FFE5B8B7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rgb="FF4A86E8"/>
          <bgColor rgb="FF4A86E8"/>
        </patternFill>
      </fill>
    </dxf>
    <dxf>
      <font>
        <b/>
        <color rgb="FFFFFFFF"/>
      </font>
      <fill>
        <patternFill patternType="solid">
          <fgColor rgb="FF674EA7"/>
          <bgColor rgb="FF674EA7"/>
        </patternFill>
      </fill>
    </dxf>
    <dxf>
      <font>
        <color rgb="FFFFFFFF"/>
      </font>
      <fill>
        <patternFill patternType="solid">
          <fgColor rgb="FF000000"/>
          <bgColor rgb="FF000000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fill>
        <patternFill patternType="solid">
          <fgColor rgb="FF00FF00"/>
          <bgColor rgb="FF00FF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ryd.rtdserver">
      <tp t="e">
        <v>#N/A</v>
        <stp/>
        <stp>COT</stp>
        <stp>PETRN402</stp>
        <stp>DiasExpir</stp>
        <tr r="K125" s="42"/>
      </tp>
      <tp t="e">
        <v>#N/A</v>
        <stp/>
        <stp>COT</stp>
        <stp>PETRB402</stp>
        <stp>DiasExpir</stp>
        <tr r="K89" s="42"/>
      </tp>
      <tp t="e">
        <v>#N/A</v>
        <stp/>
        <stp>COT</stp>
        <stp>PETRF515</stp>
        <stp>DiasExpir</stp>
        <tr r="K31" s="7"/>
      </tp>
      <tp t="e">
        <v>#N/A</v>
        <stp/>
        <stp>COT</stp>
        <stp>PETRB356</stp>
        <stp>DiasExpir</stp>
        <tr r="K62" s="3"/>
      </tp>
      <tp t="e">
        <v>#N/A</v>
        <stp/>
        <stp>COT</stp>
        <stp>PETRN407</stp>
        <stp>DiasExpir</stp>
        <tr r="K80" s="42"/>
      </tp>
      <tp t="e">
        <v>#N/A</v>
        <stp/>
        <stp>COT</stp>
        <stp>PETRA399W5</stp>
        <stp>DiasExpir</stp>
        <tr r="K44" s="42"/>
      </tp>
      <tp t="e">
        <v>#N/A</v>
        <stp/>
        <stp>COT</stp>
        <stp>PETRN380W4</stp>
        <stp>DiasExpir</stp>
        <tr r="K98" s="42"/>
        <tr r="K134" s="42"/>
      </tp>
      <tp t="e">
        <v>#N/A</v>
        <stp/>
        <stp>COT</stp>
        <stp>PETRM395W4</stp>
        <stp>DiasExpir</stp>
        <tr r="K28" s="42"/>
      </tp>
      <tp t="e">
        <v>#N/A</v>
        <stp/>
        <stp>COT</stp>
        <stp>PETRA400W4</stp>
        <stp>DiasExpir</stp>
        <tr r="K36" s="42"/>
      </tp>
      <tp t="e">
        <v>#N/A</v>
        <stp/>
        <stp>COT</stp>
        <stp>PETRO412W4</stp>
        <stp>DiasExpir</stp>
        <tr r="L21" s="7"/>
      </tp>
      <tp t="e">
        <v>#N/A</v>
        <stp/>
        <stp>COT</stp>
        <stp>PETRN380W2</stp>
        <stp>DiasExpir</stp>
        <tr r="K62" s="42"/>
      </tp>
      <tp t="e">
        <v>#N/A</v>
        <stp/>
        <stp>COT</stp>
        <stp>PETRB380W2</stp>
        <stp>DiasExpir</stp>
        <tr r="K71" s="42"/>
      </tp>
      <tp t="e">
        <v>#N/A</v>
        <stp/>
        <stp>COT</stp>
        <stp>PETRN367W1</stp>
        <stp>DiasExpir</stp>
        <tr r="K53" s="42"/>
      </tp>
      <tp t="e">
        <v>#N/A</v>
        <stp/>
        <stp>COT</stp>
        <stp>PETR4</stp>
        <stp>Ult</stp>
        <tr r="C81" s="42"/>
        <tr r="C54" s="42"/>
        <tr r="C37" s="42"/>
        <tr r="C135" s="42"/>
        <tr r="C63" s="42"/>
        <tr r="C45" s="42"/>
        <tr r="D22" s="7"/>
        <tr r="H107" s="42"/>
        <tr r="D107" s="42"/>
        <tr r="C72" s="42"/>
        <tr r="C29" s="42"/>
        <tr r="H2" s="42"/>
        <tr r="C99" s="42"/>
        <tr r="D21" s="7"/>
      </tp>
      <tp t="e">
        <v>#N/A</v>
        <stp/>
        <stp>COT</stp>
        <stp>PETRN367W1</stp>
        <stp>Ult</stp>
        <tr r="D54" s="42"/>
      </tp>
      <tp t="e">
        <v>#N/A</v>
        <stp/>
        <stp>COT</stp>
        <stp>PETRM395W4</stp>
        <stp>Ult</stp>
        <tr r="D29" s="42"/>
      </tp>
      <tp t="e">
        <v>#N/A</v>
        <stp/>
        <stp>COT</stp>
        <stp>PETRO412W4</stp>
        <stp>Ult</stp>
        <tr r="E22" s="7"/>
      </tp>
      <tp t="e">
        <v>#N/A</v>
        <stp/>
        <stp>COT</stp>
        <stp>PETRA400W4</stp>
        <stp>Ult</stp>
        <tr r="D37" s="42"/>
      </tp>
      <tp t="e">
        <v>#N/A</v>
        <stp/>
        <stp>COT</stp>
        <stp>PETRB380W2</stp>
        <stp>Ult</stp>
        <tr r="D72" s="42"/>
      </tp>
      <tp t="e">
        <v>#N/A</v>
        <stp/>
        <stp>COT</stp>
        <stp>PETRN380W4</stp>
        <stp>Ult</stp>
        <tr r="D135" s="42"/>
        <tr r="D99" s="42"/>
      </tp>
      <tp t="e">
        <v>#N/A</v>
        <stp/>
        <stp>COT</stp>
        <stp>PETRL45</stp>
        <stp>Ult</stp>
        <tr r="F78" s="3"/>
      </tp>
      <tp t="e">
        <v>#N/A</v>
        <stp/>
        <stp>COT</stp>
        <stp>PETRA399W5</stp>
        <stp>Ult</stp>
        <tr r="D45" s="42"/>
      </tp>
      <tp t="e">
        <v>#N/A</v>
        <stp/>
        <stp>COT</stp>
        <stp>PETRF515</stp>
        <stp>DiaUtExp</stp>
        <tr r="L31" s="7"/>
      </tp>
      <tp t="e">
        <v>#N/A</v>
        <stp/>
        <stp>COT</stp>
        <stp>PETRA293</stp>
        <stp>Expir</stp>
        <tr r="I23" s="3"/>
        <tr r="I11" s="3"/>
        <tr r="I36" s="3"/>
        <tr r="I17" s="3"/>
        <tr r="I4" s="3"/>
      </tp>
      <tp t="e">
        <v>#N/A</v>
        <stp/>
        <stp>COT</stp>
        <stp>PETRB402</stp>
        <stp>DiaUtExp</stp>
        <tr r="L89" s="42"/>
      </tp>
      <tp t="e">
        <v>#N/A</v>
        <stp/>
        <stp>COT</stp>
        <stp>PETRN402</stp>
        <stp>DiaUtExp</stp>
        <tr r="L125" s="42"/>
      </tp>
      <tp t="e">
        <v>#N/A</v>
        <stp/>
        <stp>COT</stp>
        <stp>PETRN407</stp>
        <stp>DiaUtExp</stp>
        <tr r="L80" s="42"/>
      </tp>
      <tp t="e">
        <v>#N/A</v>
        <stp/>
        <stp>COT</stp>
        <stp>PETRN402</stp>
        <stp>Expir</stp>
        <tr r="J125" s="42"/>
      </tp>
      <tp t="e">
        <v>#N/A</v>
        <stp/>
        <stp>COT</stp>
        <stp>PETRF515</stp>
        <stp>Expir</stp>
        <tr r="J28" s="7"/>
      </tp>
      <tp t="e">
        <v>#N/A</v>
        <stp/>
        <stp>COT</stp>
        <stp>PETRA399W5</stp>
        <stp>DiaUtExp</stp>
        <tr r="L44" s="42"/>
      </tp>
      <tp t="e">
        <v>#N/A</v>
        <stp/>
        <stp>COT</stp>
        <stp>PETRA400W4</stp>
        <stp>DiaUtExp</stp>
        <tr r="L36" s="42"/>
      </tp>
      <tp t="e">
        <v>#N/A</v>
        <stp/>
        <stp>COT</stp>
        <stp>PETRB380W2</stp>
        <stp>DiaUtExp</stp>
        <tr r="L71" s="42"/>
      </tp>
      <tp t="e">
        <v>#N/A</v>
        <stp/>
        <stp>COT</stp>
        <stp>PETRB356</stp>
        <stp>DiaUtExp</stp>
        <tr r="L62" s="3"/>
      </tp>
      <tp t="e">
        <v>#N/A</v>
        <stp/>
        <stp>COT</stp>
        <stp>PETRB356</stp>
        <stp>Expir</stp>
        <tr r="J59" s="3"/>
      </tp>
      <tp t="e">
        <v>#N/A</v>
        <stp/>
        <stp>COT</stp>
        <stp>PETRM395W4</stp>
        <stp>DiaUtExp</stp>
        <tr r="L28" s="42"/>
      </tp>
      <tp t="e">
        <v>#N/A</v>
        <stp/>
        <stp>COT</stp>
        <stp>PETRN380W4</stp>
        <stp>DiaUtExp</stp>
        <tr r="L98" s="42"/>
        <tr r="L134" s="42"/>
      </tp>
      <tp t="e">
        <v>#N/A</v>
        <stp/>
        <stp>COT</stp>
        <stp>PETRN380W2</stp>
        <stp>DiaUtExp</stp>
        <tr r="L62" s="42"/>
      </tp>
      <tp t="e">
        <v>#N/A</v>
        <stp/>
        <stp>COT</stp>
        <stp>PETRN367W1</stp>
        <stp>DiaUtExp</stp>
        <tr r="L53" s="42"/>
      </tp>
      <tp t="e">
        <v>#N/A</v>
        <stp/>
        <stp>COT</stp>
        <stp>PETRO412W4</stp>
        <stp>DiaUtExp</stp>
        <tr r="M21" s="7"/>
      </tp>
      <tp t="e">
        <v>#N/A</v>
        <stp/>
        <stp>COT</stp>
        <stp>PETRO412W4</stp>
        <stp>Expir</stp>
        <tr r="M19" s="7"/>
      </tp>
      <tp t="e">
        <v>#N/A</v>
        <stp/>
        <stp>COT</stp>
        <stp>PETRB356</stp>
        <stp>Exerc</stp>
        <tr r="E61" s="3"/>
      </tp>
      <tp t="e">
        <v>#N/A</v>
        <stp/>
        <stp>COT</stp>
        <stp>PETRN402</stp>
        <stp>Exerc</stp>
        <tr r="E125" s="42"/>
      </tp>
      <tp t="e">
        <v>#N/A</v>
        <stp/>
        <stp>COT</stp>
        <stp>PETRO412</stp>
        <stp>Exerc</stp>
        <tr r="F21" s="7"/>
      </tp>
      <tp t="e">
        <v>#N/A</v>
        <stp/>
        <stp>COT</stp>
        <stp>PETRA293</stp>
        <stp>Exerc</stp>
        <tr r="E11" s="3"/>
      </tp>
      <tp t="e">
        <v>#N/A</v>
        <stp/>
        <stp>COT</stp>
        <stp>PETRA400W4</stp>
        <stp>Exerc</stp>
        <tr r="E36" s="42"/>
      </tp>
      <tp t="e">
        <v>#N/A</v>
        <stp/>
        <stp>COT</stp>
        <stp>PETRO412W4</stp>
        <stp>Exerc</stp>
        <tr r="F22" s="7"/>
      </tp>
      <tp t="e">
        <v>#N/A</v>
        <stp/>
        <stp>COT</stp>
        <stp>PETRA293</stp>
        <stp>Ult</stp>
        <tr r="D7" s="3"/>
      </tp>
      <tp t="e">
        <v>#N/A</v>
        <stp/>
        <stp>COT</stp>
        <stp>PETRO412</stp>
        <stp>Ult</stp>
        <tr r="E21" s="7"/>
      </tp>
      <tp t="e">
        <v>#N/A</v>
        <stp/>
        <stp>COT</stp>
        <stp>PETRN407</stp>
        <stp>Ult</stp>
        <tr r="D81" s="42"/>
      </tp>
      <tp t="e">
        <v>#N/A</v>
        <stp/>
        <stp>COT</stp>
        <stp>PETRN402</stp>
        <stp>Ult</stp>
        <tr r="D126" s="42"/>
      </tp>
      <tp t="e">
        <v>#N/A</v>
        <stp/>
        <stp>COT</stp>
        <stp>PETRB402</stp>
        <stp>Ult</stp>
        <tr r="D90" s="42"/>
      </tp>
      <tp t="e">
        <v>#N/A</v>
        <stp/>
        <stp>COT</stp>
        <stp>PETRF440</stp>
        <stp>Ult</stp>
        <tr r="F79" s="3"/>
        <tr r="F75" s="3"/>
      </tp>
      <tp t="e">
        <v>#N/A</v>
        <stp/>
        <stp>COT</stp>
        <stp>PETRF515</stp>
        <stp>Ult</stp>
        <tr r="F77" s="3"/>
        <tr r="F76" s="3"/>
      </tp>
      <tp t="e">
        <v>#N/A</v>
        <stp/>
        <stp>COT</stp>
        <stp>PETRA399W5</stp>
        <stp>Exerc</stp>
        <tr r="E44" s="42"/>
      </tp>
      <tp t="e">
        <v>#N/A</v>
        <stp/>
        <stp>COT</stp>
        <stp>PETRN380W4</stp>
        <stp>Exerc</stp>
        <tr r="E134" s="42"/>
      </tp>
      <tp t="e">
        <v>#N/A</v>
        <stp/>
        <stp>COT</stp>
        <stp>PETRM395W4</stp>
        <stp>Exerc</stp>
        <tr r="E28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noFill/>
                </a:ln>
                <a:solidFill>
                  <a:schemeClr val="bg2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2025</a:t>
            </a:r>
          </a:p>
        </c:rich>
      </c:tx>
      <c:layout>
        <c:manualLayout>
          <c:xMode val="edge"/>
          <c:yMode val="edge"/>
          <c:x val="0.4717115549235591"/>
          <c:y val="2.39405228941624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noFill/>
              </a:ln>
              <a:solidFill>
                <a:schemeClr val="bg2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20"/>
      <c:rotY val="3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2"/>
          <c:order val="0"/>
          <c:tx>
            <c:v>Janeiro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Resultados!$D$4</c:f>
              <c:numCache>
                <c:formatCode>_-[$R$-416]\ * #,##0.00_-;\-[$R$-416]\ * #,##0.00_-;_-[$R$-416]\ * "-"??_-;_-@_-</c:formatCode>
                <c:ptCount val="1"/>
                <c:pt idx="0">
                  <c:v>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E-46D5-8479-54787ACA7595}"/>
            </c:ext>
          </c:extLst>
        </c:ser>
        <c:ser>
          <c:idx val="13"/>
          <c:order val="1"/>
          <c:tx>
            <c:v>Fevereiro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Resultados!$D$5</c:f>
              <c:numCache>
                <c:formatCode>_-[$R$-416]\ * #,##0.00_-;\-[$R$-416]\ * #,##0.00_-;_-[$R$-416]\ * "-"??_-;_-@_-</c:formatCode>
                <c:ptCount val="1"/>
                <c:pt idx="0">
                  <c:v>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E-46D5-8479-54787ACA7595}"/>
            </c:ext>
          </c:extLst>
        </c:ser>
        <c:ser>
          <c:idx val="14"/>
          <c:order val="2"/>
          <c:tx>
            <c:v>Março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Resultados!$D$6</c:f>
              <c:numCache>
                <c:formatCode>_-[$R$-416]\ * #,##0.00_-;\-[$R$-416]\ * #,##0.00_-;_-[$R$-416]\ * "-"??_-;_-@_-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E-46D5-8479-54787ACA7595}"/>
            </c:ext>
          </c:extLst>
        </c:ser>
        <c:ser>
          <c:idx val="15"/>
          <c:order val="3"/>
          <c:tx>
            <c:v>Abril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3.55555605327118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3E-436B-BE74-CCEAEAD7E1EE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Resultados!$D$7</c:f>
              <c:numCache>
                <c:formatCode>_-[$R$-416]\ * #,##0.00_-;\-[$R$-416]\ * #,##0.00_-;_-[$R$-416]\ * "-"??_-;_-@_-</c:formatCode>
                <c:ptCount val="1"/>
                <c:pt idx="0">
                  <c:v>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E-46D5-8479-54787ACA7595}"/>
            </c:ext>
          </c:extLst>
        </c:ser>
        <c:ser>
          <c:idx val="16"/>
          <c:order val="4"/>
          <c:tx>
            <c:v>Maio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2.1333336319627132E-2"/>
                  <c:y val="-3.143943461483519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3E-436B-BE74-CCEAEAD7E1EE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Resultados!$D$8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ECE-46D5-8479-54787ACA7595}"/>
            </c:ext>
          </c:extLst>
        </c:ser>
        <c:ser>
          <c:idx val="17"/>
          <c:order val="5"/>
          <c:tx>
            <c:v>Junho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Resultados!$D$9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ECE-46D5-8479-54787ACA7595}"/>
            </c:ext>
          </c:extLst>
        </c:ser>
        <c:ser>
          <c:idx val="18"/>
          <c:order val="6"/>
          <c:tx>
            <c:v>Julho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Resultados!$D$10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ECE-46D5-8479-54787ACA7595}"/>
            </c:ext>
          </c:extLst>
        </c:ser>
        <c:ser>
          <c:idx val="19"/>
          <c:order val="7"/>
          <c:tx>
            <c:v>Agosto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Resultados!$D$11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ECE-46D5-8479-54787ACA7595}"/>
            </c:ext>
          </c:extLst>
        </c:ser>
        <c:ser>
          <c:idx val="20"/>
          <c:order val="8"/>
          <c:tx>
            <c:v>Setembro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Resultados!$D$12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ECE-46D5-8479-54787ACA7595}"/>
            </c:ext>
          </c:extLst>
        </c:ser>
        <c:ser>
          <c:idx val="21"/>
          <c:order val="9"/>
          <c:tx>
            <c:v>Outubro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Resultados!$D$13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ECE-46D5-8479-54787ACA7595}"/>
            </c:ext>
          </c:extLst>
        </c:ser>
        <c:ser>
          <c:idx val="22"/>
          <c:order val="10"/>
          <c:tx>
            <c:v>Novembro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Resultados!$D$14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ECE-46D5-8479-54787ACA7595}"/>
            </c:ext>
          </c:extLst>
        </c:ser>
        <c:ser>
          <c:idx val="23"/>
          <c:order val="11"/>
          <c:tx>
            <c:v>Dezembro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Resultados!$D$15</c:f>
              <c:numCache>
                <c:formatCode>_-[$R$-416]\ * #,##0.00_-;\-[$R$-416]\ * #,##0.00_-;_-[$R$-416]\ 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ECE-46D5-8479-54787ACA75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521575216"/>
        <c:axId val="1521571952"/>
        <c:axId val="0"/>
      </c:bar3DChart>
      <c:catAx>
        <c:axId val="1521575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1571952"/>
        <c:crosses val="autoZero"/>
        <c:auto val="1"/>
        <c:lblAlgn val="ctr"/>
        <c:lblOffset val="100"/>
        <c:noMultiLvlLbl val="0"/>
      </c:catAx>
      <c:valAx>
        <c:axId val="152157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57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softEdge rad="0"/>
    </a:effectLst>
  </c:spPr>
  <c:txPr>
    <a:bodyPr/>
    <a:lstStyle/>
    <a:p>
      <a:pPr>
        <a:defRPr>
          <a:ln>
            <a:noFill/>
          </a:ln>
          <a:solidFill>
            <a:schemeClr val="bg2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2" max="143" min="1" page="10" val="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57152</xdr:colOff>
      <xdr:row>0</xdr:row>
      <xdr:rowOff>178592</xdr:rowOff>
    </xdr:from>
    <xdr:to>
      <xdr:col>19</xdr:col>
      <xdr:colOff>28575</xdr:colOff>
      <xdr:row>20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47625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Cotações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1</xdr:col>
          <xdr:colOff>247650</xdr:colOff>
          <xdr:row>3</xdr:row>
          <xdr:rowOff>142875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Cotações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56</xdr:row>
          <xdr:rowOff>0</xdr:rowOff>
        </xdr:from>
        <xdr:to>
          <xdr:col>1</xdr:col>
          <xdr:colOff>504825</xdr:colOff>
          <xdr:row>56</xdr:row>
          <xdr:rowOff>285750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Cotações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1390650</xdr:colOff>
          <xdr:row>1</xdr:row>
          <xdr:rowOff>390525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Cotações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Y984"/>
  <sheetViews>
    <sheetView zoomScaleNormal="100" workbookViewId="0">
      <selection activeCell="L29" sqref="L29"/>
    </sheetView>
  </sheetViews>
  <sheetFormatPr defaultColWidth="14.42578125" defaultRowHeight="14.25" x14ac:dyDescent="0.2"/>
  <cols>
    <col min="1" max="1" width="3.5703125" style="96" customWidth="1"/>
    <col min="2" max="2" width="20.42578125" style="96" customWidth="1"/>
    <col min="3" max="3" width="21.140625" style="96" customWidth="1"/>
    <col min="4" max="4" width="19.140625" style="96" bestFit="1" customWidth="1"/>
    <col min="5" max="5" width="8.42578125" style="96" customWidth="1"/>
    <col min="6" max="6" width="18.42578125" style="96" bestFit="1" customWidth="1"/>
    <col min="7" max="7" width="16.5703125" style="96" customWidth="1"/>
    <col min="8" max="8" width="16.140625" style="96" customWidth="1"/>
    <col min="9" max="9" width="9.85546875" style="96" bestFit="1" customWidth="1"/>
    <col min="10" max="10" width="10" style="96" customWidth="1"/>
    <col min="11" max="11" width="11.85546875" style="96" customWidth="1"/>
    <col min="12" max="12" width="10.42578125" style="96" bestFit="1" customWidth="1"/>
    <col min="13" max="13" width="10.5703125" style="96" customWidth="1"/>
    <col min="14" max="14" width="13.5703125" style="96" customWidth="1"/>
    <col min="15" max="15" width="15.85546875" style="96" customWidth="1"/>
    <col min="16" max="17" width="14.28515625" style="96" customWidth="1"/>
    <col min="18" max="18" width="13" style="96" customWidth="1"/>
    <col min="19" max="19" width="8.28515625" style="96" customWidth="1"/>
    <col min="20" max="20" width="10.85546875" style="96" customWidth="1"/>
    <col min="21" max="25" width="8.7109375" style="96" customWidth="1"/>
    <col min="26" max="26" width="10.140625" style="96" customWidth="1"/>
    <col min="27" max="33" width="8.7109375" style="96" customWidth="1"/>
    <col min="34" max="16384" width="14.42578125" style="96"/>
  </cols>
  <sheetData>
    <row r="2" spans="1:25" ht="23.25" x14ac:dyDescent="0.2">
      <c r="B2" s="352">
        <v>2025</v>
      </c>
      <c r="C2" s="352"/>
      <c r="D2" s="352"/>
      <c r="E2" s="352"/>
      <c r="F2" s="352"/>
      <c r="G2" s="352"/>
      <c r="H2" s="352"/>
      <c r="I2" s="352"/>
      <c r="J2" s="352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</row>
    <row r="3" spans="1:25" ht="15" customHeight="1" x14ac:dyDescent="0.25">
      <c r="B3" s="116" t="s">
        <v>0</v>
      </c>
      <c r="C3" s="116" t="s">
        <v>1</v>
      </c>
      <c r="D3" s="353" t="s">
        <v>2</v>
      </c>
      <c r="E3" s="354"/>
      <c r="F3" s="116" t="s">
        <v>3</v>
      </c>
      <c r="G3" s="117" t="s">
        <v>4</v>
      </c>
      <c r="H3" s="353" t="s">
        <v>5</v>
      </c>
      <c r="I3" s="354"/>
      <c r="J3" s="118" t="s">
        <v>6</v>
      </c>
    </row>
    <row r="4" spans="1:25" ht="15" customHeight="1" x14ac:dyDescent="0.25">
      <c r="A4" s="96">
        <v>1</v>
      </c>
      <c r="B4" s="119" t="s">
        <v>7</v>
      </c>
      <c r="C4" s="120">
        <v>103748.62</v>
      </c>
      <c r="D4" s="1">
        <v>2409</v>
      </c>
      <c r="E4" s="2">
        <f t="shared" ref="E4:E15" si="0">IF(D4&lt;&gt;0,D4/C4,"")</f>
        <v>2.3219585956902367E-2</v>
      </c>
      <c r="F4" s="107">
        <f t="shared" ref="F4:F9" si="1">IF(D4&gt;0,(D4*15%)*-1,0)</f>
        <v>-361.34999999999997</v>
      </c>
      <c r="G4" s="107"/>
      <c r="H4" s="121">
        <v>0</v>
      </c>
      <c r="I4" s="122" t="str">
        <f t="shared" ref="I4:I15" si="2">IF(H4&gt;0,H4/C4,"")</f>
        <v/>
      </c>
      <c r="J4" s="123">
        <f t="shared" ref="J4:J15" si="3">IF(D4&gt;0,(H4+F4+D4)/C4,"")</f>
        <v>1.9736648063367012E-2</v>
      </c>
    </row>
    <row r="5" spans="1:25" ht="15" customHeight="1" x14ac:dyDescent="0.25">
      <c r="A5" s="96">
        <v>2</v>
      </c>
      <c r="B5" s="124" t="s">
        <v>8</v>
      </c>
      <c r="C5" s="125">
        <f>IF(D4&lt;&gt;0,(C4+D4++F4+H4),"")</f>
        <v>105796.26999999999</v>
      </c>
      <c r="D5" s="1">
        <v>4027</v>
      </c>
      <c r="E5" s="2">
        <f t="shared" si="0"/>
        <v>3.8063723796689625E-2</v>
      </c>
      <c r="F5" s="107">
        <f t="shared" si="1"/>
        <v>-604.04999999999995</v>
      </c>
      <c r="G5" s="107"/>
      <c r="H5" s="107">
        <v>0</v>
      </c>
      <c r="I5" s="122" t="str">
        <f t="shared" si="2"/>
        <v/>
      </c>
      <c r="J5" s="123">
        <f t="shared" si="3"/>
        <v>3.2354165227186177E-2</v>
      </c>
    </row>
    <row r="6" spans="1:25" ht="15" customHeight="1" x14ac:dyDescent="0.25">
      <c r="A6" s="96">
        <v>3</v>
      </c>
      <c r="B6" s="124" t="s">
        <v>9</v>
      </c>
      <c r="C6" s="125">
        <f>IF(D5&lt;&gt;0,(C5+D5+F5+H5+J5),"")</f>
        <v>109219.25235416522</v>
      </c>
      <c r="D6" s="1">
        <v>0.01</v>
      </c>
      <c r="E6" s="2">
        <f t="shared" si="0"/>
        <v>9.155894940182345E-8</v>
      </c>
      <c r="F6" s="107">
        <f t="shared" si="1"/>
        <v>-1.5E-3</v>
      </c>
      <c r="G6" s="107"/>
      <c r="H6" s="107">
        <v>0</v>
      </c>
      <c r="I6" s="126" t="str">
        <f t="shared" si="2"/>
        <v/>
      </c>
      <c r="J6" s="123">
        <f t="shared" si="3"/>
        <v>7.7825106991549935E-8</v>
      </c>
    </row>
    <row r="7" spans="1:25" ht="15" customHeight="1" x14ac:dyDescent="0.25">
      <c r="A7" s="96">
        <v>4</v>
      </c>
      <c r="B7" s="124" t="s">
        <v>10</v>
      </c>
      <c r="C7" s="125">
        <f t="shared" ref="C7:C16" si="4">IF(D6&lt;&gt;0,(C6+D6+F6+H6+J6),"")</f>
        <v>109219.26085424304</v>
      </c>
      <c r="D7" s="1">
        <v>621</v>
      </c>
      <c r="E7" s="2">
        <f t="shared" si="0"/>
        <v>5.6858103153503885E-3</v>
      </c>
      <c r="F7" s="107">
        <f t="shared" si="1"/>
        <v>-93.149999999999991</v>
      </c>
      <c r="G7" s="107">
        <v>3200</v>
      </c>
      <c r="H7" s="107">
        <v>0</v>
      </c>
      <c r="I7" s="126" t="str">
        <f t="shared" si="2"/>
        <v/>
      </c>
      <c r="J7" s="123">
        <f t="shared" si="3"/>
        <v>4.8329387680478304E-3</v>
      </c>
    </row>
    <row r="8" spans="1:25" ht="15" customHeight="1" x14ac:dyDescent="0.25">
      <c r="A8" s="96">
        <v>5</v>
      </c>
      <c r="B8" s="124" t="s">
        <v>11</v>
      </c>
      <c r="C8" s="125">
        <f t="shared" si="4"/>
        <v>109747.11568718181</v>
      </c>
      <c r="D8" s="1"/>
      <c r="E8" s="2" t="str">
        <f t="shared" si="0"/>
        <v/>
      </c>
      <c r="F8" s="107">
        <f t="shared" si="1"/>
        <v>0</v>
      </c>
      <c r="G8" s="107">
        <v>3200</v>
      </c>
      <c r="H8" s="107">
        <v>0</v>
      </c>
      <c r="I8" s="126" t="str">
        <f t="shared" si="2"/>
        <v/>
      </c>
      <c r="J8" s="123" t="str">
        <f t="shared" si="3"/>
        <v/>
      </c>
    </row>
    <row r="9" spans="1:25" ht="15" customHeight="1" x14ac:dyDescent="0.25">
      <c r="A9" s="96">
        <v>6</v>
      </c>
      <c r="B9" s="124" t="s">
        <v>12</v>
      </c>
      <c r="C9" s="125" t="str">
        <f t="shared" si="4"/>
        <v/>
      </c>
      <c r="D9" s="1"/>
      <c r="E9" s="2" t="str">
        <f t="shared" si="0"/>
        <v/>
      </c>
      <c r="F9" s="107">
        <f t="shared" si="1"/>
        <v>0</v>
      </c>
      <c r="G9" s="107">
        <v>3100</v>
      </c>
      <c r="H9" s="107">
        <v>0</v>
      </c>
      <c r="I9" s="126" t="str">
        <f t="shared" si="2"/>
        <v/>
      </c>
      <c r="J9" s="123" t="str">
        <f t="shared" si="3"/>
        <v/>
      </c>
    </row>
    <row r="10" spans="1:25" ht="15" customHeight="1" x14ac:dyDescent="0.25">
      <c r="A10" s="96">
        <v>7</v>
      </c>
      <c r="B10" s="124" t="s">
        <v>13</v>
      </c>
      <c r="C10" s="125" t="str">
        <f t="shared" si="4"/>
        <v/>
      </c>
      <c r="D10" s="1"/>
      <c r="E10" s="2" t="str">
        <f t="shared" si="0"/>
        <v/>
      </c>
      <c r="F10" s="107">
        <f t="shared" ref="F10:F15" si="5">IF(D10&gt;0,(D10*15%)*-1,0)</f>
        <v>0</v>
      </c>
      <c r="G10" s="107"/>
      <c r="H10" s="107">
        <v>0</v>
      </c>
      <c r="I10" s="126" t="str">
        <f t="shared" si="2"/>
        <v/>
      </c>
      <c r="J10" s="123" t="str">
        <f t="shared" si="3"/>
        <v/>
      </c>
    </row>
    <row r="11" spans="1:25" ht="15" customHeight="1" x14ac:dyDescent="0.25">
      <c r="A11" s="96">
        <v>8</v>
      </c>
      <c r="B11" s="124" t="s">
        <v>14</v>
      </c>
      <c r="C11" s="125" t="str">
        <f t="shared" si="4"/>
        <v/>
      </c>
      <c r="D11" s="1"/>
      <c r="E11" s="2" t="str">
        <f t="shared" si="0"/>
        <v/>
      </c>
      <c r="F11" s="107">
        <f t="shared" si="5"/>
        <v>0</v>
      </c>
      <c r="G11" s="107"/>
      <c r="H11" s="107">
        <v>0</v>
      </c>
      <c r="I11" s="126" t="str">
        <f t="shared" si="2"/>
        <v/>
      </c>
      <c r="J11" s="123" t="str">
        <f t="shared" si="3"/>
        <v/>
      </c>
    </row>
    <row r="12" spans="1:25" ht="15" customHeight="1" x14ac:dyDescent="0.25">
      <c r="A12" s="96">
        <v>9</v>
      </c>
      <c r="B12" s="124" t="s">
        <v>15</v>
      </c>
      <c r="C12" s="125" t="str">
        <f t="shared" si="4"/>
        <v/>
      </c>
      <c r="D12" s="1"/>
      <c r="E12" s="2" t="str">
        <f>IF(D12&lt;&gt;0,D12/C12,"")</f>
        <v/>
      </c>
      <c r="F12" s="107">
        <f t="shared" si="5"/>
        <v>0</v>
      </c>
      <c r="G12" s="107"/>
      <c r="H12" s="107">
        <v>0</v>
      </c>
      <c r="I12" s="126" t="str">
        <f t="shared" si="2"/>
        <v/>
      </c>
      <c r="J12" s="123" t="str">
        <f t="shared" si="3"/>
        <v/>
      </c>
    </row>
    <row r="13" spans="1:25" ht="15" customHeight="1" x14ac:dyDescent="0.25">
      <c r="A13" s="96">
        <v>10</v>
      </c>
      <c r="B13" s="124" t="s">
        <v>16</v>
      </c>
      <c r="C13" s="125" t="str">
        <f t="shared" si="4"/>
        <v/>
      </c>
      <c r="D13" s="1"/>
      <c r="E13" s="2" t="str">
        <f t="shared" si="0"/>
        <v/>
      </c>
      <c r="F13" s="107">
        <f t="shared" si="5"/>
        <v>0</v>
      </c>
      <c r="G13" s="107"/>
      <c r="H13" s="107">
        <v>0</v>
      </c>
      <c r="I13" s="126" t="str">
        <f t="shared" si="2"/>
        <v/>
      </c>
      <c r="J13" s="123" t="str">
        <f t="shared" si="3"/>
        <v/>
      </c>
    </row>
    <row r="14" spans="1:25" ht="15" customHeight="1" x14ac:dyDescent="0.25">
      <c r="A14" s="96">
        <v>11</v>
      </c>
      <c r="B14" s="124" t="s">
        <v>17</v>
      </c>
      <c r="C14" s="125" t="str">
        <f t="shared" si="4"/>
        <v/>
      </c>
      <c r="D14" s="1"/>
      <c r="E14" s="2" t="str">
        <f t="shared" si="0"/>
        <v/>
      </c>
      <c r="F14" s="107">
        <f t="shared" si="5"/>
        <v>0</v>
      </c>
      <c r="G14" s="107"/>
      <c r="H14" s="107">
        <v>0</v>
      </c>
      <c r="I14" s="126" t="str">
        <f t="shared" si="2"/>
        <v/>
      </c>
      <c r="J14" s="123" t="str">
        <f t="shared" si="3"/>
        <v/>
      </c>
    </row>
    <row r="15" spans="1:25" ht="15" customHeight="1" x14ac:dyDescent="0.25">
      <c r="A15" s="96">
        <v>12</v>
      </c>
      <c r="B15" s="124" t="s">
        <v>18</v>
      </c>
      <c r="C15" s="125" t="str">
        <f t="shared" si="4"/>
        <v/>
      </c>
      <c r="D15" s="1"/>
      <c r="E15" s="2" t="str">
        <f t="shared" si="0"/>
        <v/>
      </c>
      <c r="F15" s="107">
        <f t="shared" si="5"/>
        <v>0</v>
      </c>
      <c r="G15" s="107"/>
      <c r="H15" s="107">
        <v>0</v>
      </c>
      <c r="I15" s="126" t="str">
        <f t="shared" si="2"/>
        <v/>
      </c>
      <c r="J15" s="123" t="str">
        <f t="shared" si="3"/>
        <v/>
      </c>
    </row>
    <row r="16" spans="1:25" ht="15" customHeight="1" x14ac:dyDescent="0.25">
      <c r="B16" s="124" t="s">
        <v>87</v>
      </c>
      <c r="C16" s="125" t="str">
        <f t="shared" si="4"/>
        <v/>
      </c>
      <c r="D16" s="1">
        <f>SUM(D4:D15)</f>
        <v>7057.01</v>
      </c>
      <c r="E16" s="98">
        <f t="array" ref="E16">AVERAGE(IF(E4:E15&lt;&gt;0,E4:E15))</f>
        <v>1.6742302906972945E-2</v>
      </c>
      <c r="F16" s="107">
        <f>SUM(F4:F15)</f>
        <v>-1058.5514999999998</v>
      </c>
      <c r="G16" s="107">
        <f>SUM(G4:G15)</f>
        <v>9500</v>
      </c>
      <c r="H16" s="107">
        <f>SUM(H4:H15)</f>
        <v>0</v>
      </c>
      <c r="I16" s="98">
        <f>IF(SUM(I4:I15)&gt;0,AVERAGE(I4:I15),0)</f>
        <v>0</v>
      </c>
      <c r="J16" s="98">
        <f t="array" ref="J16">AVERAGE(IF(J4:J15&lt;&gt;0,J4:J15))</f>
        <v>1.4230957470927003E-2</v>
      </c>
    </row>
    <row r="17" spans="2:13" ht="15" customHeight="1" x14ac:dyDescent="0.25">
      <c r="B17" s="124" t="s">
        <v>19</v>
      </c>
      <c r="C17" s="125"/>
      <c r="D17" s="1">
        <f>AVERAGE(D4:D15)</f>
        <v>1764.2525000000001</v>
      </c>
      <c r="E17" s="291"/>
      <c r="F17" s="291"/>
      <c r="G17" s="124" t="s">
        <v>127</v>
      </c>
      <c r="H17" s="107">
        <f>AVERAGE(H4:H15)</f>
        <v>0</v>
      </c>
      <c r="I17" s="292"/>
      <c r="J17" s="291"/>
    </row>
    <row r="18" spans="2:13" ht="15" customHeight="1" x14ac:dyDescent="0.2">
      <c r="G18" s="205"/>
      <c r="H18" s="105"/>
      <c r="I18" s="5"/>
    </row>
    <row r="19" spans="2:13" ht="15" customHeight="1" x14ac:dyDescent="0.25">
      <c r="B19" s="355" t="s">
        <v>20</v>
      </c>
      <c r="C19" s="356"/>
      <c r="D19" s="357"/>
      <c r="F19" s="127" t="s">
        <v>21</v>
      </c>
      <c r="G19" s="1">
        <f>ObterCotacao("PETR4", "close",TRUE)</f>
        <v>38.14</v>
      </c>
    </row>
    <row r="20" spans="2:13" ht="15" customHeight="1" x14ac:dyDescent="0.25">
      <c r="B20" s="128" t="s">
        <v>22</v>
      </c>
      <c r="C20" s="129">
        <f>E16</f>
        <v>1.6742302906972945E-2</v>
      </c>
      <c r="D20" s="130" t="s">
        <v>23</v>
      </c>
      <c r="F20" s="127" t="s">
        <v>24</v>
      </c>
      <c r="G20" s="196">
        <v>2300</v>
      </c>
    </row>
    <row r="21" spans="2:13" ht="15" customHeight="1" x14ac:dyDescent="0.25">
      <c r="B21" s="128" t="s">
        <v>25</v>
      </c>
      <c r="C21" s="131">
        <f>D21*12</f>
        <v>60</v>
      </c>
      <c r="D21" s="132">
        <v>5</v>
      </c>
      <c r="F21" s="127" t="s">
        <v>26</v>
      </c>
      <c r="G21" s="6">
        <f>G19*G20</f>
        <v>87722</v>
      </c>
      <c r="L21" s="105"/>
      <c r="M21" s="133"/>
    </row>
    <row r="22" spans="2:13" ht="15" customHeight="1" x14ac:dyDescent="0.2">
      <c r="B22" s="128" t="s">
        <v>95</v>
      </c>
      <c r="C22" s="107">
        <v>0</v>
      </c>
      <c r="D22" s="96">
        <v>2025</v>
      </c>
      <c r="I22" s="114"/>
      <c r="K22" s="134"/>
    </row>
    <row r="23" spans="2:13" ht="15" customHeight="1" x14ac:dyDescent="0.2">
      <c r="B23" s="128" t="s">
        <v>27</v>
      </c>
      <c r="C23" s="107">
        <f>G21</f>
        <v>87722</v>
      </c>
      <c r="D23" s="96">
        <f>D22+D21</f>
        <v>2030</v>
      </c>
      <c r="H23" s="114"/>
    </row>
    <row r="24" spans="2:13" ht="15" customHeight="1" x14ac:dyDescent="0.25">
      <c r="B24" s="128" t="s">
        <v>28</v>
      </c>
      <c r="C24" s="206">
        <f>FV(C20,C21,C22,C23,0)*-1</f>
        <v>237553.87794690477</v>
      </c>
      <c r="D24" s="127" t="s">
        <v>121</v>
      </c>
      <c r="F24" s="358" t="s">
        <v>99</v>
      </c>
      <c r="G24" s="359"/>
      <c r="H24" s="178"/>
    </row>
    <row r="25" spans="2:13" ht="15" customHeight="1" x14ac:dyDescent="0.2">
      <c r="B25" s="128" t="s">
        <v>30</v>
      </c>
      <c r="C25" s="107">
        <f>(C24/ABS(C23))-2</f>
        <v>0.70803080124603612</v>
      </c>
      <c r="D25" s="197">
        <f ca="1">DATE(YEAR(TODAY()), MONTH(TODAY()), INT(C21*30.417)+MOD(C21*30.417,1))</f>
        <v>48028</v>
      </c>
      <c r="F25" s="128" t="s">
        <v>98</v>
      </c>
      <c r="G25" s="98">
        <f>E16*12</f>
        <v>0.20090763488367536</v>
      </c>
      <c r="I25" s="135"/>
      <c r="J25" s="135"/>
    </row>
    <row r="26" spans="2:13" ht="15" customHeight="1" x14ac:dyDescent="0.2">
      <c r="B26" s="128" t="s">
        <v>31</v>
      </c>
      <c r="C26" s="107">
        <f>C24-ABS(C23)</f>
        <v>149831.87794690477</v>
      </c>
      <c r="F26" s="128" t="s">
        <v>153</v>
      </c>
      <c r="G26" s="211">
        <f>72/(VALUE(G25)*100)</f>
        <v>3.58373637924152</v>
      </c>
      <c r="H26" s="170"/>
      <c r="I26" s="115"/>
      <c r="J26" s="115"/>
    </row>
    <row r="27" spans="2:13" ht="15" customHeight="1" x14ac:dyDescent="0.2">
      <c r="B27" s="128" t="s">
        <v>32</v>
      </c>
      <c r="C27" s="107">
        <f>(C20)*C24</f>
        <v>3977.1989813131599</v>
      </c>
      <c r="G27" s="169"/>
      <c r="H27" s="115"/>
      <c r="I27" s="115"/>
      <c r="K27" s="136"/>
    </row>
    <row r="28" spans="2:13" ht="15.75" customHeight="1" x14ac:dyDescent="0.2">
      <c r="B28" s="128" t="s">
        <v>33</v>
      </c>
      <c r="C28" s="107">
        <f>(C20/2)*C24</f>
        <v>1988.59949065658</v>
      </c>
      <c r="K28" s="136"/>
    </row>
    <row r="29" spans="2:13" ht="15.75" customHeight="1" x14ac:dyDescent="0.2">
      <c r="C29" s="137"/>
      <c r="E29" s="137"/>
      <c r="F29" s="232"/>
    </row>
    <row r="30" spans="2:13" ht="15.75" customHeight="1" x14ac:dyDescent="0.25">
      <c r="B30" s="127" t="s">
        <v>90</v>
      </c>
      <c r="C30" s="127" t="s">
        <v>102</v>
      </c>
      <c r="E30" s="137"/>
    </row>
    <row r="31" spans="2:13" ht="15.75" customHeight="1" x14ac:dyDescent="0.25">
      <c r="B31" s="174" t="s">
        <v>134</v>
      </c>
      <c r="C31" s="1">
        <v>1214</v>
      </c>
      <c r="D31" s="175"/>
      <c r="E31" s="137"/>
    </row>
    <row r="32" spans="2:13" ht="15.75" customHeight="1" x14ac:dyDescent="0.25">
      <c r="B32" s="174"/>
      <c r="C32" s="1"/>
      <c r="D32" s="137"/>
      <c r="E32" s="137"/>
      <c r="F32" s="114"/>
    </row>
    <row r="33" spans="1:5" ht="15.75" customHeight="1" x14ac:dyDescent="0.25">
      <c r="B33" s="174"/>
      <c r="C33" s="1"/>
      <c r="D33" s="137"/>
      <c r="E33" s="137"/>
    </row>
    <row r="34" spans="1:5" ht="15.75" customHeight="1" x14ac:dyDescent="0.25">
      <c r="B34" s="174"/>
      <c r="C34" s="107"/>
      <c r="D34" s="137"/>
      <c r="E34" s="137"/>
    </row>
    <row r="35" spans="1:5" ht="15.75" customHeight="1" x14ac:dyDescent="0.2">
      <c r="C35" s="1">
        <f>SUM(C31:C34)</f>
        <v>1214</v>
      </c>
      <c r="D35" s="137"/>
      <c r="E35" s="137"/>
    </row>
    <row r="36" spans="1:5" ht="15.75" customHeight="1" x14ac:dyDescent="0.2">
      <c r="C36" s="137"/>
      <c r="D36" s="137"/>
      <c r="E36" s="137"/>
    </row>
    <row r="37" spans="1:5" ht="15.75" customHeight="1" x14ac:dyDescent="0.25">
      <c r="B37" s="350" t="s">
        <v>62</v>
      </c>
      <c r="C37" s="351"/>
      <c r="D37" s="351"/>
      <c r="E37" s="137"/>
    </row>
    <row r="38" spans="1:5" ht="15.75" customHeight="1" x14ac:dyDescent="0.25">
      <c r="B38" s="182">
        <v>45689</v>
      </c>
      <c r="C38" s="1">
        <v>1500</v>
      </c>
      <c r="D38" s="98">
        <f>C38/$G$21</f>
        <v>1.7099473336221246E-2</v>
      </c>
      <c r="E38" s="137"/>
    </row>
    <row r="39" spans="1:5" ht="15.75" customHeight="1" x14ac:dyDescent="0.25">
      <c r="B39" s="182">
        <v>45717</v>
      </c>
      <c r="C39" s="1">
        <v>1500</v>
      </c>
      <c r="D39" s="98">
        <f t="shared" ref="D39:D44" si="6">C39/$G$21</f>
        <v>1.7099473336221246E-2</v>
      </c>
      <c r="E39" s="137"/>
    </row>
    <row r="40" spans="1:5" ht="15.75" customHeight="1" x14ac:dyDescent="0.25">
      <c r="B40" s="182"/>
      <c r="C40" s="1"/>
      <c r="D40" s="98">
        <f t="shared" si="6"/>
        <v>0</v>
      </c>
      <c r="E40" s="137"/>
    </row>
    <row r="41" spans="1:5" ht="15.75" customHeight="1" x14ac:dyDescent="0.25">
      <c r="B41" s="182"/>
      <c r="C41" s="1"/>
      <c r="D41" s="98">
        <f t="shared" si="6"/>
        <v>0</v>
      </c>
      <c r="E41" s="137"/>
    </row>
    <row r="42" spans="1:5" ht="15.75" customHeight="1" x14ac:dyDescent="0.25">
      <c r="B42" s="182"/>
      <c r="C42" s="1"/>
      <c r="D42" s="98">
        <f t="shared" si="6"/>
        <v>0</v>
      </c>
      <c r="E42" s="137"/>
    </row>
    <row r="43" spans="1:5" ht="15.75" customHeight="1" x14ac:dyDescent="0.25">
      <c r="B43" s="182"/>
      <c r="C43" s="1"/>
      <c r="D43" s="98">
        <f t="shared" si="6"/>
        <v>0</v>
      </c>
      <c r="E43" s="137"/>
    </row>
    <row r="44" spans="1:5" ht="15.75" customHeight="1" x14ac:dyDescent="0.25">
      <c r="B44" s="127" t="s">
        <v>129</v>
      </c>
      <c r="C44" s="1">
        <f>SUM(C38:C43)</f>
        <v>3000</v>
      </c>
      <c r="D44" s="98">
        <f t="shared" si="6"/>
        <v>3.4198946672442491E-2</v>
      </c>
      <c r="E44" s="137"/>
    </row>
    <row r="45" spans="1:5" ht="15.75" customHeight="1" x14ac:dyDescent="0.25">
      <c r="B45" s="127" t="s">
        <v>130</v>
      </c>
      <c r="C45" s="1">
        <f>C44/6</f>
        <v>500</v>
      </c>
      <c r="D45" s="98">
        <f>C45/$G$21</f>
        <v>5.699824445407081E-3</v>
      </c>
      <c r="E45" s="137"/>
    </row>
    <row r="46" spans="1:5" ht="15.75" customHeight="1" x14ac:dyDescent="0.2">
      <c r="C46" s="137"/>
      <c r="D46" s="137"/>
      <c r="E46" s="137"/>
    </row>
    <row r="47" spans="1:5" ht="15.75" customHeight="1" x14ac:dyDescent="0.2">
      <c r="A47" s="137"/>
      <c r="B47" s="137"/>
      <c r="C47" s="137"/>
      <c r="D47" s="137"/>
      <c r="E47" s="137"/>
    </row>
    <row r="48" spans="1:5" ht="15.75" customHeight="1" x14ac:dyDescent="0.2">
      <c r="B48" s="137"/>
      <c r="C48" s="137"/>
      <c r="D48" s="137"/>
      <c r="E48" s="137"/>
    </row>
    <row r="49" spans="2:5" ht="15.75" customHeight="1" x14ac:dyDescent="0.2">
      <c r="B49" s="137"/>
      <c r="C49" s="137"/>
      <c r="D49" s="137"/>
      <c r="E49" s="137"/>
    </row>
    <row r="50" spans="2:5" ht="15.75" customHeight="1" x14ac:dyDescent="0.2">
      <c r="C50" s="137"/>
      <c r="D50" s="137"/>
      <c r="E50" s="137"/>
    </row>
    <row r="51" spans="2:5" ht="15.75" customHeight="1" x14ac:dyDescent="0.2">
      <c r="C51" s="137"/>
      <c r="D51" s="137"/>
      <c r="E51" s="137"/>
    </row>
    <row r="52" spans="2:5" ht="15.75" customHeight="1" x14ac:dyDescent="0.2">
      <c r="C52" s="137"/>
      <c r="D52" s="137"/>
      <c r="E52" s="137"/>
    </row>
    <row r="53" spans="2:5" ht="15.75" customHeight="1" x14ac:dyDescent="0.2">
      <c r="C53" s="137"/>
      <c r="D53" s="137"/>
      <c r="E53" s="137"/>
    </row>
    <row r="54" spans="2:5" ht="15.75" customHeight="1" x14ac:dyDescent="0.2">
      <c r="C54" s="137"/>
      <c r="D54" s="137"/>
      <c r="E54" s="137"/>
    </row>
    <row r="55" spans="2:5" ht="15.75" customHeight="1" x14ac:dyDescent="0.2">
      <c r="C55" s="137"/>
      <c r="D55" s="137"/>
      <c r="E55" s="137"/>
    </row>
    <row r="56" spans="2:5" ht="15.75" customHeight="1" x14ac:dyDescent="0.2">
      <c r="C56" s="137"/>
      <c r="D56" s="137"/>
      <c r="E56" s="137"/>
    </row>
    <row r="57" spans="2:5" ht="15.75" customHeight="1" x14ac:dyDescent="0.2">
      <c r="C57" s="137"/>
      <c r="D57" s="137"/>
      <c r="E57" s="137"/>
    </row>
    <row r="58" spans="2:5" ht="15.75" customHeight="1" x14ac:dyDescent="0.2">
      <c r="C58" s="137"/>
      <c r="D58" s="137"/>
      <c r="E58" s="137"/>
    </row>
    <row r="59" spans="2:5" ht="15.75" customHeight="1" x14ac:dyDescent="0.2">
      <c r="C59" s="137"/>
      <c r="D59" s="137"/>
      <c r="E59" s="137"/>
    </row>
    <row r="60" spans="2:5" ht="15.75" customHeight="1" x14ac:dyDescent="0.2">
      <c r="C60" s="137"/>
      <c r="D60" s="137"/>
      <c r="E60" s="137"/>
    </row>
    <row r="61" spans="2:5" ht="15.75" customHeight="1" x14ac:dyDescent="0.2">
      <c r="C61" s="137"/>
      <c r="D61" s="137"/>
      <c r="E61" s="137"/>
    </row>
    <row r="62" spans="2:5" ht="15.75" customHeight="1" x14ac:dyDescent="0.2">
      <c r="C62" s="137"/>
      <c r="D62" s="137"/>
      <c r="E62" s="137"/>
    </row>
    <row r="63" spans="2:5" ht="15.75" customHeight="1" x14ac:dyDescent="0.2">
      <c r="C63" s="137"/>
      <c r="D63" s="137"/>
      <c r="E63" s="137"/>
    </row>
    <row r="64" spans="2:5" ht="15.75" customHeight="1" x14ac:dyDescent="0.2">
      <c r="C64" s="137"/>
      <c r="D64" s="137"/>
      <c r="E64" s="137"/>
    </row>
    <row r="65" spans="3:5" ht="15.75" customHeight="1" x14ac:dyDescent="0.2">
      <c r="C65" s="137"/>
      <c r="D65" s="137"/>
      <c r="E65" s="137"/>
    </row>
    <row r="66" spans="3:5" ht="15.75" customHeight="1" x14ac:dyDescent="0.2">
      <c r="C66" s="137"/>
      <c r="D66" s="137"/>
      <c r="E66" s="137"/>
    </row>
    <row r="67" spans="3:5" ht="15.75" customHeight="1" x14ac:dyDescent="0.2">
      <c r="C67" s="137"/>
      <c r="D67" s="137"/>
      <c r="E67" s="137"/>
    </row>
    <row r="68" spans="3:5" ht="15.75" customHeight="1" x14ac:dyDescent="0.2">
      <c r="C68" s="137"/>
      <c r="D68" s="137"/>
      <c r="E68" s="137"/>
    </row>
    <row r="69" spans="3:5" ht="15.75" customHeight="1" x14ac:dyDescent="0.2">
      <c r="C69" s="137"/>
      <c r="D69" s="137"/>
      <c r="E69" s="137"/>
    </row>
    <row r="70" spans="3:5" ht="15.75" customHeight="1" x14ac:dyDescent="0.2">
      <c r="C70" s="137"/>
      <c r="D70" s="137"/>
      <c r="E70" s="137"/>
    </row>
    <row r="71" spans="3:5" ht="15.75" customHeight="1" x14ac:dyDescent="0.2">
      <c r="C71" s="137"/>
      <c r="D71" s="137"/>
      <c r="E71" s="137"/>
    </row>
    <row r="72" spans="3:5" ht="15.75" customHeight="1" x14ac:dyDescent="0.2">
      <c r="C72" s="137"/>
      <c r="D72" s="137"/>
      <c r="E72" s="137"/>
    </row>
    <row r="73" spans="3:5" ht="15.75" customHeight="1" x14ac:dyDescent="0.2">
      <c r="C73" s="137"/>
      <c r="D73" s="137"/>
      <c r="E73" s="137"/>
    </row>
    <row r="74" spans="3:5" ht="15.75" customHeight="1" x14ac:dyDescent="0.2">
      <c r="C74" s="137"/>
      <c r="D74" s="137"/>
      <c r="E74" s="137"/>
    </row>
    <row r="75" spans="3:5" ht="15.75" customHeight="1" x14ac:dyDescent="0.2">
      <c r="C75" s="137"/>
      <c r="D75" s="137"/>
      <c r="E75" s="137"/>
    </row>
    <row r="76" spans="3:5" ht="15.75" customHeight="1" x14ac:dyDescent="0.2">
      <c r="C76" s="137"/>
      <c r="D76" s="137"/>
      <c r="E76" s="137"/>
    </row>
    <row r="77" spans="3:5" ht="15.75" customHeight="1" x14ac:dyDescent="0.2">
      <c r="C77" s="137"/>
      <c r="D77" s="137"/>
      <c r="E77" s="137"/>
    </row>
    <row r="78" spans="3:5" ht="15.75" customHeight="1" x14ac:dyDescent="0.2">
      <c r="C78" s="137"/>
      <c r="D78" s="137"/>
      <c r="E78" s="137"/>
    </row>
    <row r="79" spans="3:5" ht="15.75" customHeight="1" x14ac:dyDescent="0.2">
      <c r="C79" s="137"/>
      <c r="D79" s="137"/>
      <c r="E79" s="137"/>
    </row>
    <row r="80" spans="3:5" ht="15.75" customHeight="1" x14ac:dyDescent="0.2">
      <c r="C80" s="137"/>
      <c r="D80" s="137"/>
      <c r="E80" s="137"/>
    </row>
    <row r="81" spans="3:5" ht="15.75" customHeight="1" x14ac:dyDescent="0.2">
      <c r="C81" s="137"/>
      <c r="D81" s="137"/>
      <c r="E81" s="137"/>
    </row>
    <row r="82" spans="3:5" ht="15.75" customHeight="1" x14ac:dyDescent="0.2">
      <c r="C82" s="137"/>
      <c r="D82" s="137"/>
      <c r="E82" s="137"/>
    </row>
    <row r="83" spans="3:5" ht="15.75" customHeight="1" x14ac:dyDescent="0.2">
      <c r="C83" s="137"/>
      <c r="D83" s="137"/>
      <c r="E83" s="137"/>
    </row>
    <row r="84" spans="3:5" ht="15.75" customHeight="1" x14ac:dyDescent="0.2">
      <c r="C84" s="137"/>
      <c r="D84" s="137"/>
      <c r="E84" s="137"/>
    </row>
    <row r="85" spans="3:5" ht="15.75" customHeight="1" x14ac:dyDescent="0.2">
      <c r="C85" s="137"/>
      <c r="D85" s="137"/>
      <c r="E85" s="137"/>
    </row>
    <row r="86" spans="3:5" ht="15.75" customHeight="1" x14ac:dyDescent="0.2">
      <c r="C86" s="137"/>
      <c r="D86" s="137"/>
      <c r="E86" s="137"/>
    </row>
    <row r="87" spans="3:5" ht="15.75" customHeight="1" x14ac:dyDescent="0.2">
      <c r="C87" s="137"/>
      <c r="D87" s="137"/>
      <c r="E87" s="137"/>
    </row>
    <row r="88" spans="3:5" ht="15.75" customHeight="1" x14ac:dyDescent="0.2">
      <c r="C88" s="137"/>
      <c r="D88" s="137"/>
      <c r="E88" s="137"/>
    </row>
    <row r="89" spans="3:5" ht="15.75" customHeight="1" x14ac:dyDescent="0.2">
      <c r="C89" s="137"/>
      <c r="D89" s="137"/>
      <c r="E89" s="137"/>
    </row>
    <row r="90" spans="3:5" ht="15.75" customHeight="1" x14ac:dyDescent="0.2"/>
    <row r="91" spans="3:5" ht="15.75" customHeight="1" x14ac:dyDescent="0.2"/>
    <row r="92" spans="3:5" ht="15.75" customHeight="1" x14ac:dyDescent="0.2"/>
    <row r="93" spans="3:5" ht="15.75" customHeight="1" x14ac:dyDescent="0.2"/>
    <row r="94" spans="3:5" ht="15.75" customHeight="1" x14ac:dyDescent="0.2"/>
    <row r="95" spans="3:5" ht="15.75" customHeight="1" x14ac:dyDescent="0.2"/>
    <row r="96" spans="3:5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</sheetData>
  <mergeCells count="6">
    <mergeCell ref="B37:D37"/>
    <mergeCell ref="B2:J2"/>
    <mergeCell ref="D3:E3"/>
    <mergeCell ref="H3:I3"/>
    <mergeCell ref="B19:D19"/>
    <mergeCell ref="F24:G24"/>
  </mergeCells>
  <phoneticPr fontId="18" type="noConversion"/>
  <conditionalFormatting sqref="C24:C26">
    <cfRule type="cellIs" dxfId="656" priority="43" operator="lessThan">
      <formula>0</formula>
    </cfRule>
    <cfRule type="cellIs" dxfId="655" priority="44" operator="greaterThan">
      <formula>0</formula>
    </cfRule>
    <cfRule type="cellIs" dxfId="654" priority="45" operator="greaterThan">
      <formula>0</formula>
    </cfRule>
  </conditionalFormatting>
  <conditionalFormatting sqref="C25 D4:J16 D17">
    <cfRule type="cellIs" dxfId="653" priority="46" operator="greaterThan">
      <formula>0</formula>
    </cfRule>
  </conditionalFormatting>
  <conditionalFormatting sqref="F4:G16">
    <cfRule type="cellIs" dxfId="652" priority="21" operator="greaterThan">
      <formula>0</formula>
    </cfRule>
    <cfRule type="cellIs" dxfId="651" priority="22" operator="lessThan">
      <formula>0</formula>
    </cfRule>
  </conditionalFormatting>
  <conditionalFormatting sqref="G19:G21">
    <cfRule type="cellIs" dxfId="650" priority="33" operator="greaterThan">
      <formula>0</formula>
    </cfRule>
  </conditionalFormatting>
  <conditionalFormatting sqref="J4:J16">
    <cfRule type="cellIs" dxfId="649" priority="27" operator="lessThan">
      <formula>0</formula>
    </cfRule>
    <cfRule type="cellIs" dxfId="648" priority="29" operator="greaterThan">
      <formula>0</formula>
    </cfRule>
  </conditionalFormatting>
  <conditionalFormatting sqref="C31">
    <cfRule type="cellIs" dxfId="647" priority="16" operator="greaterThan">
      <formula>0</formula>
    </cfRule>
  </conditionalFormatting>
  <conditionalFormatting sqref="C32">
    <cfRule type="cellIs" dxfId="646" priority="15" operator="greaterThan">
      <formula>0</formula>
    </cfRule>
  </conditionalFormatting>
  <conditionalFormatting sqref="C38:C45">
    <cfRule type="cellIs" dxfId="645" priority="12" operator="greaterThan">
      <formula>0</formula>
    </cfRule>
  </conditionalFormatting>
  <conditionalFormatting sqref="C33">
    <cfRule type="cellIs" dxfId="644" priority="11" operator="greaterThan">
      <formula>0</formula>
    </cfRule>
  </conditionalFormatting>
  <conditionalFormatting sqref="D25">
    <cfRule type="cellIs" dxfId="643" priority="9" operator="greaterThan">
      <formula>0</formula>
    </cfRule>
  </conditionalFormatting>
  <conditionalFormatting sqref="C34">
    <cfRule type="cellIs" dxfId="642" priority="5" operator="lessThan">
      <formula>0</formula>
    </cfRule>
    <cfRule type="cellIs" dxfId="641" priority="6" operator="greaterThan">
      <formula>0</formula>
    </cfRule>
    <cfRule type="cellIs" dxfId="640" priority="7" operator="greaterThan">
      <formula>0</formula>
    </cfRule>
  </conditionalFormatting>
  <conditionalFormatting sqref="C34">
    <cfRule type="cellIs" dxfId="639" priority="8" operator="greaterThan">
      <formula>0</formula>
    </cfRule>
  </conditionalFormatting>
  <conditionalFormatting sqref="C35">
    <cfRule type="cellIs" dxfId="638" priority="4" operator="greaterThan">
      <formula>0</formula>
    </cfRule>
  </conditionalFormatting>
  <conditionalFormatting sqref="D38:D45">
    <cfRule type="cellIs" dxfId="637" priority="3" operator="greaterThan">
      <formula>0</formula>
    </cfRule>
  </conditionalFormatting>
  <conditionalFormatting sqref="G25">
    <cfRule type="cellIs" dxfId="63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7205-1EF6-41C7-91E5-1555854483AF}">
  <sheetPr codeName="Planilha5"/>
  <dimension ref="A1:L11"/>
  <sheetViews>
    <sheetView workbookViewId="0">
      <selection activeCell="A5" sqref="A5"/>
    </sheetView>
  </sheetViews>
  <sheetFormatPr defaultRowHeight="14.25" x14ac:dyDescent="0.2"/>
  <cols>
    <col min="1" max="1" width="19.7109375" style="96" bestFit="1" customWidth="1"/>
    <col min="2" max="2" width="18.7109375" style="96" customWidth="1"/>
    <col min="3" max="3" width="22.140625" style="96" customWidth="1"/>
    <col min="4" max="4" width="13.7109375" style="96" customWidth="1"/>
    <col min="5" max="5" width="21.42578125" style="96" bestFit="1" customWidth="1"/>
    <col min="6" max="6" width="23.85546875" style="96" bestFit="1" customWidth="1"/>
    <col min="7" max="7" width="21.42578125" style="96" bestFit="1" customWidth="1"/>
    <col min="8" max="8" width="22.42578125" style="96" customWidth="1"/>
    <col min="9" max="9" width="19.42578125" style="96" bestFit="1" customWidth="1"/>
    <col min="10" max="10" width="21" style="96" customWidth="1"/>
    <col min="11" max="11" width="17.85546875" style="96" customWidth="1"/>
    <col min="12" max="12" width="15.85546875" style="96" customWidth="1"/>
    <col min="13" max="13" width="12.5703125" style="96" customWidth="1"/>
    <col min="14" max="14" width="11.7109375" style="96" customWidth="1"/>
    <col min="15" max="15" width="16.140625" style="96" bestFit="1" customWidth="1"/>
    <col min="16" max="16" width="6.85546875" style="96" customWidth="1"/>
    <col min="17" max="17" width="12" style="96" bestFit="1" customWidth="1"/>
    <col min="18" max="16384" width="9.140625" style="96"/>
  </cols>
  <sheetData>
    <row r="1" spans="1:12" s="97" customFormat="1" ht="22.5" customHeight="1" x14ac:dyDescent="0.25">
      <c r="A1" s="251"/>
      <c r="B1" s="360" t="s">
        <v>93</v>
      </c>
      <c r="C1" s="360"/>
      <c r="D1" s="360"/>
      <c r="E1" s="360"/>
      <c r="F1" s="360"/>
      <c r="G1" s="360"/>
      <c r="H1" s="360"/>
      <c r="I1" s="360"/>
      <c r="J1" s="360"/>
      <c r="K1" s="360"/>
      <c r="L1" s="360"/>
    </row>
    <row r="4" spans="1:12" ht="15.75" x14ac:dyDescent="0.25">
      <c r="A4" s="250" t="s">
        <v>179</v>
      </c>
      <c r="B4" s="314" t="str">
        <f>IF(A4&lt;&gt;"",CONCATENATE(A6, " - ",A7),"")</f>
        <v>Venda - PUT</v>
      </c>
      <c r="C4" s="234"/>
      <c r="D4" s="234"/>
      <c r="E4" s="237"/>
      <c r="F4" s="236"/>
      <c r="G4" s="234"/>
      <c r="H4" s="234"/>
      <c r="I4" s="234"/>
      <c r="J4" s="234"/>
      <c r="K4" s="234"/>
      <c r="L4" s="249"/>
    </row>
    <row r="5" spans="1:12" ht="15" x14ac:dyDescent="0.25">
      <c r="A5" s="314" t="s">
        <v>88</v>
      </c>
      <c r="B5" s="314" t="s">
        <v>112</v>
      </c>
      <c r="C5" s="314" t="s">
        <v>86</v>
      </c>
      <c r="D5" s="314" t="s">
        <v>40</v>
      </c>
      <c r="E5" s="314" t="s">
        <v>41</v>
      </c>
      <c r="F5" s="314" t="s">
        <v>42</v>
      </c>
      <c r="G5" s="314" t="s">
        <v>43</v>
      </c>
      <c r="H5" s="314" t="s">
        <v>34</v>
      </c>
      <c r="I5" s="103" t="s">
        <v>46</v>
      </c>
      <c r="J5" s="103" t="s">
        <v>135</v>
      </c>
      <c r="K5" s="103" t="s">
        <v>47</v>
      </c>
      <c r="L5" s="103" t="s">
        <v>58</v>
      </c>
    </row>
    <row r="6" spans="1:12" ht="15.75" x14ac:dyDescent="0.2">
      <c r="A6" s="176" t="s">
        <v>49</v>
      </c>
      <c r="B6" s="315" t="s">
        <v>113</v>
      </c>
      <c r="C6" s="179">
        <f>ObterCotacao("PETR4", "close",TRUE)</f>
        <v>38.14</v>
      </c>
      <c r="D6" s="179" t="str">
        <f>IF(A4&lt;&gt;"",ObterCotacao(A4, "ask"),0)</f>
        <v xml:space="preserve">Erro: Operação anulada_x000D_
</v>
      </c>
      <c r="E6" s="368" t="str">
        <f>IF(A4&lt;&gt;"",ObterCotacao(A4, "strike"),0)</f>
        <v xml:space="preserve">Erro: Operação anulada_x000D_
</v>
      </c>
      <c r="F6" s="180" t="e">
        <f>IF(A4&lt;&gt;"",ABS(C6-E6)/C6,0)</f>
        <v>#VALUE!</v>
      </c>
      <c r="G6" s="179" t="e">
        <f>H6*D6</f>
        <v>#VALUE!</v>
      </c>
      <c r="H6" s="370">
        <v>600</v>
      </c>
      <c r="I6" s="372" t="e">
        <f>IF(A4&lt;&gt;"",G8/G6,0)</f>
        <v>#VALUE!</v>
      </c>
      <c r="J6" s="374" t="str">
        <f>ObterCotacao(A4, "due_date")</f>
        <v xml:space="preserve">Erro: Operação anulada_x000D_
</v>
      </c>
      <c r="K6" s="375" t="str">
        <f>IF(A4&lt;&gt;"",ObterCotacao(A4, "days_to_maturity"),"")</f>
        <v xml:space="preserve">Erro: Operação anulada_x000D_
</v>
      </c>
      <c r="L6" s="361" t="str">
        <f>IF(A4&lt;&gt;"",IF(A7="CALL",(IF(C7&gt;=E6,"SIM","NÃO")),IF(A7="PUT",(IF(C7&lt;E6,"SIM","NÃO")),"FECHADO")),"")</f>
        <v>SIM</v>
      </c>
    </row>
    <row r="7" spans="1:12" ht="15.75" x14ac:dyDescent="0.2">
      <c r="A7" s="231" t="str">
        <f>IF(AND(MID(A4,5,1)&gt;="M",MID(A4,5,1)&lt;="X"),"PUT","CALL")</f>
        <v>PUT</v>
      </c>
      <c r="B7" s="315" t="s">
        <v>114</v>
      </c>
      <c r="C7" s="179">
        <f>ObterCotacao("PETR4", "close",TRUE)</f>
        <v>38.14</v>
      </c>
      <c r="D7" s="179" t="str">
        <f>IF(A4&lt;&gt;"",ObterCotacao(A4, "ask"),0)</f>
        <v xml:space="preserve">Erro: Operação anulada_x000D_
</v>
      </c>
      <c r="E7" s="369"/>
      <c r="F7" s="180" t="e">
        <f>IF(A4&lt;&gt;"",ABS(C7-E6)/C7,0)</f>
        <v>#VALUE!</v>
      </c>
      <c r="G7" s="179" t="e">
        <f>D7*H6*-1</f>
        <v>#VALUE!</v>
      </c>
      <c r="H7" s="371"/>
      <c r="I7" s="373"/>
      <c r="J7" s="371"/>
      <c r="K7" s="375"/>
      <c r="L7" s="361"/>
    </row>
    <row r="8" spans="1:12" ht="15.75" x14ac:dyDescent="0.25">
      <c r="A8" s="176" t="s">
        <v>53</v>
      </c>
      <c r="B8" s="362" t="s">
        <v>54</v>
      </c>
      <c r="C8" s="363"/>
      <c r="D8" s="104"/>
      <c r="E8" s="364" t="s">
        <v>51</v>
      </c>
      <c r="F8" s="365"/>
      <c r="G8" s="179" t="e">
        <f>G6+G7</f>
        <v>#VALUE!</v>
      </c>
      <c r="H8" s="97"/>
      <c r="I8" s="97"/>
      <c r="J8" s="97"/>
      <c r="K8" s="108"/>
      <c r="L8" s="97"/>
    </row>
    <row r="9" spans="1:12" ht="15.75" x14ac:dyDescent="0.2">
      <c r="A9" s="165">
        <v>26454.47</v>
      </c>
      <c r="B9" s="166" t="e">
        <f>G6/A9</f>
        <v>#VALUE!</v>
      </c>
      <c r="C9" s="165" t="e">
        <f>A9+G6</f>
        <v>#VALUE!</v>
      </c>
      <c r="D9" s="104"/>
      <c r="E9" s="366" t="s">
        <v>58</v>
      </c>
      <c r="F9" s="367" t="e">
        <f>E6*H6</f>
        <v>#VALUE!</v>
      </c>
      <c r="G9" s="176" t="s">
        <v>44</v>
      </c>
      <c r="H9" s="97"/>
      <c r="I9" s="97"/>
      <c r="J9" s="97"/>
      <c r="K9" s="97"/>
      <c r="L9" s="97"/>
    </row>
    <row r="10" spans="1:12" ht="18" x14ac:dyDescent="0.2">
      <c r="B10" s="181"/>
      <c r="C10" s="239"/>
      <c r="D10" s="181"/>
      <c r="E10" s="366"/>
      <c r="F10" s="367"/>
      <c r="G10" s="215" t="e">
        <f>B9</f>
        <v>#VALUE!</v>
      </c>
      <c r="H10" s="142"/>
      <c r="I10" s="142"/>
      <c r="J10" s="97"/>
      <c r="K10" s="97"/>
      <c r="L10" s="97"/>
    </row>
    <row r="11" spans="1:12" ht="15.75" x14ac:dyDescent="0.2">
      <c r="F11" s="176" t="s">
        <v>173</v>
      </c>
      <c r="G11" s="215" t="e">
        <f>G10*4</f>
        <v>#VALUE!</v>
      </c>
    </row>
  </sheetData>
  <mergeCells count="11">
    <mergeCell ref="B1:L1"/>
    <mergeCell ref="L6:L7"/>
    <mergeCell ref="B8:C8"/>
    <mergeCell ref="E8:F8"/>
    <mergeCell ref="E9:E10"/>
    <mergeCell ref="F9:F10"/>
    <mergeCell ref="E6:E7"/>
    <mergeCell ref="H6:H7"/>
    <mergeCell ref="I6:I7"/>
    <mergeCell ref="J6:J7"/>
    <mergeCell ref="K6:K7"/>
  </mergeCells>
  <conditionalFormatting sqref="E6">
    <cfRule type="expression" dxfId="635" priority="11">
      <formula>E6&gt;C7</formula>
    </cfRule>
    <cfRule type="expression" dxfId="634" priority="12">
      <formula>E6&lt;=C7</formula>
    </cfRule>
  </conditionalFormatting>
  <conditionalFormatting sqref="I6">
    <cfRule type="cellIs" dxfId="633" priority="9" operator="greaterThan">
      <formula>0</formula>
    </cfRule>
    <cfRule type="cellIs" dxfId="632" priority="10" operator="lessThan">
      <formula>0</formula>
    </cfRule>
  </conditionalFormatting>
  <conditionalFormatting sqref="F6:F7">
    <cfRule type="cellIs" dxfId="631" priority="7" operator="greaterThan">
      <formula>0</formula>
    </cfRule>
    <cfRule type="cellIs" dxfId="630" priority="8" operator="lessThan">
      <formula>0</formula>
    </cfRule>
  </conditionalFormatting>
  <conditionalFormatting sqref="C6:D7">
    <cfRule type="cellIs" dxfId="629" priority="5" operator="greaterThan">
      <formula>0</formula>
    </cfRule>
    <cfRule type="cellIs" dxfId="628" priority="6" operator="lessThan">
      <formula>0</formula>
    </cfRule>
  </conditionalFormatting>
  <conditionalFormatting sqref="G6:G8">
    <cfRule type="cellIs" dxfId="627" priority="13" operator="greaterThan">
      <formula>0</formula>
    </cfRule>
    <cfRule type="cellIs" dxfId="626" priority="14" operator="lessThan">
      <formula>0</formula>
    </cfRule>
  </conditionalFormatting>
  <conditionalFormatting sqref="G10">
    <cfRule type="cellIs" dxfId="625" priority="3" operator="greaterThan">
      <formula>0</formula>
    </cfRule>
    <cfRule type="cellIs" dxfId="624" priority="4" operator="lessThan">
      <formula>0</formula>
    </cfRule>
  </conditionalFormatting>
  <conditionalFormatting sqref="L6">
    <cfRule type="containsText" dxfId="623" priority="15" operator="containsText" text="SIM">
      <formula>NOT(ISERROR(SEARCH("SIM",L6)))</formula>
    </cfRule>
    <cfRule type="containsText" dxfId="622" priority="16" operator="containsText" text="NÃO">
      <formula>NOT(ISERROR(SEARCH("NÃO",L6)))</formula>
    </cfRule>
    <cfRule type="expression" dxfId="621" priority="17">
      <formula>$D4:$D856="E-CALL"</formula>
    </cfRule>
    <cfRule type="expression" dxfId="620" priority="18">
      <formula>$D4:$D16="PUT"</formula>
    </cfRule>
    <cfRule type="expression" dxfId="619" priority="19">
      <formula>$D4:$D16="CALL"</formula>
    </cfRule>
  </conditionalFormatting>
  <conditionalFormatting sqref="G11">
    <cfRule type="cellIs" dxfId="618" priority="1" operator="greaterThan">
      <formula>0</formula>
    </cfRule>
    <cfRule type="cellIs" dxfId="617" priority="2" operator="lessThan">
      <formula>0</formula>
    </cfRule>
  </conditionalFormatting>
  <dataValidations count="2">
    <dataValidation type="list" allowBlank="1" showInputMessage="1" showErrorMessage="1" sqref="A6" xr:uid="{EC610520-9272-4F6E-828C-25D61024C4E7}">
      <formula1>"Compra,Venda"</formula1>
    </dataValidation>
    <dataValidation type="list" allowBlank="1" showInputMessage="1" showErrorMessage="1" sqref="A4" xr:uid="{B4795BC2-D95D-49DB-B804-126C6BED23E1}">
      <formula1>ListaTickers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tualizarCotaco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47625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CJ260"/>
  <sheetViews>
    <sheetView tabSelected="1" zoomScaleNormal="100" workbookViewId="0">
      <selection activeCell="S3" sqref="S3"/>
    </sheetView>
  </sheetViews>
  <sheetFormatPr defaultColWidth="11.42578125" defaultRowHeight="14.25" outlineLevelRow="2" x14ac:dyDescent="0.2"/>
  <cols>
    <col min="1" max="1" width="16.140625" style="96" customWidth="1"/>
    <col min="2" max="2" width="15" style="96" bestFit="1" customWidth="1"/>
    <col min="3" max="3" width="15.7109375" style="96" bestFit="1" customWidth="1"/>
    <col min="4" max="4" width="13.85546875" style="96" bestFit="1" customWidth="1"/>
    <col min="5" max="5" width="10.28515625" style="96" bestFit="1" customWidth="1"/>
    <col min="6" max="7" width="13.85546875" style="96" bestFit="1" customWidth="1"/>
    <col min="8" max="8" width="6.85546875" style="96" bestFit="1" customWidth="1"/>
    <col min="9" max="9" width="13.28515625" style="96" customWidth="1"/>
    <col min="10" max="10" width="17" style="96" customWidth="1"/>
    <col min="11" max="12" width="15" style="96" bestFit="1" customWidth="1"/>
    <col min="13" max="13" width="11.85546875" style="96" bestFit="1" customWidth="1"/>
    <col min="14" max="14" width="12.28515625" style="96" customWidth="1"/>
    <col min="15" max="15" width="9.85546875" style="96" bestFit="1" customWidth="1"/>
    <col min="16" max="16" width="13.42578125" style="96" bestFit="1" customWidth="1"/>
    <col min="17" max="17" width="15.140625" style="96" customWidth="1"/>
    <col min="18" max="18" width="15" style="96" bestFit="1" customWidth="1"/>
    <col min="19" max="16384" width="11.42578125" style="96"/>
  </cols>
  <sheetData>
    <row r="1" spans="1:17" ht="15.75" customHeight="1" x14ac:dyDescent="0.25">
      <c r="A1" s="102" t="s">
        <v>96</v>
      </c>
      <c r="B1" s="102" t="s">
        <v>38</v>
      </c>
      <c r="C1" s="102" t="s">
        <v>97</v>
      </c>
      <c r="D1" s="102" t="s">
        <v>167</v>
      </c>
      <c r="E1" s="102" t="s">
        <v>168</v>
      </c>
      <c r="F1" s="102" t="s">
        <v>41</v>
      </c>
      <c r="G1" s="102" t="s">
        <v>42</v>
      </c>
      <c r="H1" s="103" t="s">
        <v>169</v>
      </c>
      <c r="I1" s="381" t="s">
        <v>163</v>
      </c>
      <c r="J1" s="381"/>
      <c r="K1" s="382" t="s">
        <v>162</v>
      </c>
      <c r="L1" s="383"/>
      <c r="M1" s="102" t="s">
        <v>2</v>
      </c>
      <c r="N1" s="103" t="s">
        <v>155</v>
      </c>
      <c r="O1" s="103" t="s">
        <v>47</v>
      </c>
      <c r="P1" s="103" t="s">
        <v>58</v>
      </c>
      <c r="Q1" s="103" t="s">
        <v>176</v>
      </c>
    </row>
    <row r="2" spans="1:17" ht="15.75" customHeight="1" x14ac:dyDescent="0.2">
      <c r="A2" s="100" t="s">
        <v>161</v>
      </c>
      <c r="B2" s="264" t="s">
        <v>67</v>
      </c>
      <c r="C2" s="265"/>
      <c r="D2" s="265"/>
      <c r="E2" s="180"/>
      <c r="F2" s="266"/>
      <c r="G2" s="180">
        <f>IF(A2&lt;&gt;"",IF(D2&gt;0,ABS(D2-F2)/D2,0),"")</f>
        <v>0</v>
      </c>
      <c r="H2" s="213"/>
      <c r="I2" s="267"/>
      <c r="J2" s="268"/>
      <c r="K2" s="269" t="str">
        <f>IF(AND(I2&gt;0,J2&gt;0),"ERRO",IF(I2&gt;0,(E2/365)*H2*I2,IF(J2&gt;0,((E2/365)*H2*J2)/F2,"")))</f>
        <v/>
      </c>
      <c r="L2" s="279" t="str">
        <f>IF(C2&gt;0,IF(AND(I2&gt;0,J2&gt;0),"ERRO",IF(J2&gt;0,(E2/365)*H2*J2,IF(K2&gt;0,K2*F2,""))),"")</f>
        <v/>
      </c>
      <c r="M2" s="180" t="str">
        <f>IF(AND(I2&gt;0,J2&gt;0),"ERRO",IF(J2&gt;0,L2/J2,IF(I2&gt;0,K2/I2,"")))</f>
        <v/>
      </c>
      <c r="N2" s="270"/>
      <c r="O2" s="213" t="str">
        <f ca="1">IF(N2&lt;&gt;"",IF(N2-TODAY()&lt;1,0,N2-TODAY()),"")</f>
        <v/>
      </c>
      <c r="P2" s="180" t="str">
        <f>IF(A2&lt;&gt;"",IF(B2="CALL",(IF(C2&gt;=F2,"SIM","NÃO")),IF(B2="PUT",(IF(C2&lt;F2,"SIM","NÃO")),"FECHADO")),"")</f>
        <v>SIM</v>
      </c>
      <c r="Q2" s="283" t="s">
        <v>174</v>
      </c>
    </row>
    <row r="3" spans="1:17" ht="15.75" customHeight="1" x14ac:dyDescent="0.2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 t="s">
        <v>172</v>
      </c>
      <c r="O3" s="262"/>
      <c r="P3" s="262"/>
      <c r="Q3" s="262" t="s">
        <v>29</v>
      </c>
    </row>
    <row r="4" spans="1:17" ht="15.75" customHeight="1" x14ac:dyDescent="0.2">
      <c r="A4" s="262"/>
      <c r="B4" s="262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</row>
    <row r="5" spans="1:17" ht="15.75" customHeight="1" x14ac:dyDescent="0.2">
      <c r="A5" s="262"/>
      <c r="B5" s="262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</row>
    <row r="6" spans="1:17" ht="15.75" customHeight="1" x14ac:dyDescent="0.25">
      <c r="A6" s="376">
        <v>46204</v>
      </c>
      <c r="B6" s="377"/>
      <c r="C6" s="377"/>
      <c r="D6" s="377"/>
      <c r="E6" s="377"/>
      <c r="F6" s="377"/>
      <c r="G6" s="377"/>
      <c r="H6" s="377"/>
      <c r="I6" s="378"/>
      <c r="J6" s="338" t="s">
        <v>156</v>
      </c>
      <c r="K6" s="336">
        <f>SUM(K8:K27)</f>
        <v>0.10540824978206588</v>
      </c>
      <c r="L6" s="286">
        <f>SUM(L8:L27)</f>
        <v>205.35462552575342</v>
      </c>
      <c r="M6" s="334">
        <f>SUM(M8:M27)</f>
        <v>5.4074520547945197E-2</v>
      </c>
      <c r="N6" s="379" t="s">
        <v>171</v>
      </c>
      <c r="O6" s="380"/>
      <c r="P6" s="334">
        <f>AVERAGE(M8:M27)</f>
        <v>2.8460273972602734E-3</v>
      </c>
      <c r="Q6" s="332"/>
    </row>
    <row r="7" spans="1:17" ht="15.75" customHeight="1" outlineLevel="1" x14ac:dyDescent="0.25">
      <c r="A7" s="349" t="s">
        <v>96</v>
      </c>
      <c r="B7" s="349" t="s">
        <v>38</v>
      </c>
      <c r="C7" s="349" t="s">
        <v>97</v>
      </c>
      <c r="D7" s="349" t="s">
        <v>167</v>
      </c>
      <c r="E7" s="349" t="s">
        <v>168</v>
      </c>
      <c r="F7" s="349" t="s">
        <v>41</v>
      </c>
      <c r="G7" s="349" t="s">
        <v>42</v>
      </c>
      <c r="H7" s="330" t="s">
        <v>169</v>
      </c>
      <c r="I7" s="381" t="s">
        <v>163</v>
      </c>
      <c r="J7" s="381"/>
      <c r="K7" s="382" t="s">
        <v>162</v>
      </c>
      <c r="L7" s="383"/>
      <c r="M7" s="349" t="s">
        <v>2</v>
      </c>
      <c r="N7" s="330" t="s">
        <v>155</v>
      </c>
      <c r="O7" s="330" t="s">
        <v>47</v>
      </c>
      <c r="P7" s="330" t="s">
        <v>58</v>
      </c>
      <c r="Q7" s="330" t="s">
        <v>176</v>
      </c>
    </row>
    <row r="8" spans="1:17" ht="15.75" customHeight="1" outlineLevel="1" x14ac:dyDescent="0.2">
      <c r="A8" s="335" t="s">
        <v>161</v>
      </c>
      <c r="B8" s="335" t="s">
        <v>67</v>
      </c>
      <c r="C8" s="333">
        <v>1736.1</v>
      </c>
      <c r="D8" s="333">
        <v>1707.05</v>
      </c>
      <c r="E8" s="334">
        <v>6.4000000000000001E-2</v>
      </c>
      <c r="F8" s="339">
        <v>1850</v>
      </c>
      <c r="G8" s="334">
        <f t="shared" ref="G8:G11" si="0">IF(A8&lt;&gt;"",IF(D8&gt;0,ABS(D8-F8)/D8,0),"")</f>
        <v>8.3740956621071463E-2</v>
      </c>
      <c r="H8" s="335">
        <v>3</v>
      </c>
      <c r="I8" s="336">
        <v>2.1877</v>
      </c>
      <c r="J8" s="340"/>
      <c r="K8" s="336">
        <f t="shared" ref="K8:K11" si="1">IF(AND(I8&gt;0,J8&gt;0),"ERRO",IF(I8&gt;0,(E8/365)*H8*I8,IF(J8&gt;0,((E8/365)*H8*J8)/F8,"")))</f>
        <v>1.1507901369863015E-3</v>
      </c>
      <c r="L8" s="340">
        <f t="shared" ref="L8:L11" si="2">IF(C8&gt;0,IF(AND(I8&gt;0,J8&gt;0),"ERRO",IF(J8&gt;0,(E8/365)*H8*J8,IF(K8&gt;0,K8*F8,""))),"")</f>
        <v>2.1289617534246577</v>
      </c>
      <c r="M8" s="334">
        <f t="shared" ref="M8:M11" si="3">IF(AND(I8&gt;0,J8&gt;0),"ERRO",IF(J8&gt;0,L8/J8,IF(I8&gt;0,K8/I8,"")))</f>
        <v>5.2602739726027403E-4</v>
      </c>
      <c r="N8" s="341">
        <v>46209</v>
      </c>
      <c r="O8" s="335">
        <f t="shared" ref="O8:O11" ca="1" si="4">IF(N8&lt;&gt;"",IF(N8-TODAY()&lt;1,0,N8-TODAY()),"")</f>
        <v>0</v>
      </c>
      <c r="P8" s="334" t="str">
        <f t="shared" ref="P8:P11" si="5">IF(A8&lt;&gt;"",IF(B8="CALL",(IF(C8&gt;=F8,"SIM","NÃO")),IF(B8="PUT",(IF(C8&lt;F8,"SIM","NÃO")),"FECHADO")),"")</f>
        <v>NÃO</v>
      </c>
      <c r="Q8" s="340" t="s">
        <v>174</v>
      </c>
    </row>
    <row r="9" spans="1:17" ht="15.75" customHeight="1" outlineLevel="1" x14ac:dyDescent="0.2">
      <c r="A9" s="335" t="s">
        <v>161</v>
      </c>
      <c r="B9" s="335" t="s">
        <v>67</v>
      </c>
      <c r="C9" s="333">
        <v>1768.03</v>
      </c>
      <c r="D9" s="333">
        <v>1738.18</v>
      </c>
      <c r="E9" s="334">
        <v>9.8699999999999996E-2</v>
      </c>
      <c r="F9" s="339">
        <v>1850</v>
      </c>
      <c r="G9" s="334">
        <f t="shared" si="0"/>
        <v>6.4331657250687457E-2</v>
      </c>
      <c r="H9" s="335">
        <v>1</v>
      </c>
      <c r="I9" s="336">
        <v>2.1888000000000001</v>
      </c>
      <c r="J9" s="340"/>
      <c r="K9" s="336">
        <f t="shared" si="1"/>
        <v>5.9187550684931497E-4</v>
      </c>
      <c r="L9" s="340">
        <f t="shared" si="2"/>
        <v>1.0949696876712327</v>
      </c>
      <c r="M9" s="334">
        <f t="shared" si="3"/>
        <v>2.7041095890410955E-4</v>
      </c>
      <c r="N9" s="341">
        <v>46210</v>
      </c>
      <c r="O9" s="335">
        <f t="shared" ca="1" si="4"/>
        <v>0</v>
      </c>
      <c r="P9" s="334" t="str">
        <f t="shared" si="5"/>
        <v>NÃO</v>
      </c>
      <c r="Q9" s="340" t="s">
        <v>174</v>
      </c>
    </row>
    <row r="10" spans="1:17" ht="15.75" customHeight="1" outlineLevel="1" x14ac:dyDescent="0.2">
      <c r="A10" s="335" t="s">
        <v>161</v>
      </c>
      <c r="B10" s="335" t="s">
        <v>67</v>
      </c>
      <c r="C10" s="333">
        <v>1734.06</v>
      </c>
      <c r="D10" s="333">
        <v>1774.72</v>
      </c>
      <c r="E10" s="334">
        <v>0.13159999999999999</v>
      </c>
      <c r="F10" s="339">
        <v>1850</v>
      </c>
      <c r="G10" s="334">
        <f t="shared" si="0"/>
        <v>4.2417958889289564E-2</v>
      </c>
      <c r="H10" s="335">
        <v>1</v>
      </c>
      <c r="I10" s="336">
        <v>2.1892999999999998</v>
      </c>
      <c r="J10" s="340"/>
      <c r="K10" s="336">
        <f t="shared" si="1"/>
        <v>7.8934761643835612E-4</v>
      </c>
      <c r="L10" s="340">
        <f t="shared" si="2"/>
        <v>1.4602930904109588</v>
      </c>
      <c r="M10" s="334">
        <f t="shared" si="3"/>
        <v>3.6054794520547944E-4</v>
      </c>
      <c r="N10" s="341">
        <v>46211</v>
      </c>
      <c r="O10" s="335">
        <f t="shared" ca="1" si="4"/>
        <v>0</v>
      </c>
      <c r="P10" s="334" t="str">
        <f t="shared" si="5"/>
        <v>NÃO</v>
      </c>
      <c r="Q10" s="340" t="s">
        <v>174</v>
      </c>
    </row>
    <row r="11" spans="1:17" ht="15.75" customHeight="1" outlineLevel="1" x14ac:dyDescent="0.2">
      <c r="A11" s="335" t="s">
        <v>161</v>
      </c>
      <c r="B11" s="335" t="s">
        <v>67</v>
      </c>
      <c r="C11" s="333">
        <v>1732.88</v>
      </c>
      <c r="D11" s="333">
        <v>1732.89</v>
      </c>
      <c r="E11" s="334">
        <v>0.12709999999999999</v>
      </c>
      <c r="F11" s="339">
        <v>1825</v>
      </c>
      <c r="G11" s="334">
        <f t="shared" si="0"/>
        <v>5.3153979767902114E-2</v>
      </c>
      <c r="H11" s="335">
        <v>1</v>
      </c>
      <c r="I11" s="336">
        <v>2.19</v>
      </c>
      <c r="J11" s="340"/>
      <c r="K11" s="336">
        <f t="shared" si="1"/>
        <v>7.626E-4</v>
      </c>
      <c r="L11" s="340">
        <f t="shared" si="2"/>
        <v>1.391745</v>
      </c>
      <c r="M11" s="334">
        <f t="shared" si="3"/>
        <v>3.4821917808219177E-4</v>
      </c>
      <c r="N11" s="341">
        <v>46212</v>
      </c>
      <c r="O11" s="335">
        <f t="shared" ca="1" si="4"/>
        <v>0</v>
      </c>
      <c r="P11" s="334" t="str">
        <f t="shared" si="5"/>
        <v>NÃO</v>
      </c>
      <c r="Q11" s="340" t="s">
        <v>174</v>
      </c>
    </row>
    <row r="12" spans="1:17" ht="15.75" customHeight="1" outlineLevel="1" x14ac:dyDescent="0.2">
      <c r="A12" s="335" t="s">
        <v>161</v>
      </c>
      <c r="B12" s="335" t="s">
        <v>67</v>
      </c>
      <c r="C12" s="333">
        <v>1792.88</v>
      </c>
      <c r="D12" s="333">
        <v>1753.38</v>
      </c>
      <c r="E12" s="334">
        <v>0.15290000000000001</v>
      </c>
      <c r="F12" s="339">
        <v>1825</v>
      </c>
      <c r="G12" s="334">
        <f t="shared" ref="G12:G19" si="6">IF(A12&lt;&gt;"",IF(D12&gt;0,ABS(D12-F12)/D12,0),"")</f>
        <v>4.084682156748673E-2</v>
      </c>
      <c r="H12" s="335">
        <v>1</v>
      </c>
      <c r="I12" s="336">
        <v>2.1905999999999999</v>
      </c>
      <c r="J12" s="340"/>
      <c r="K12" s="336">
        <f t="shared" ref="K12:K19" si="7">IF(AND(I12&gt;0,J12&gt;0),"ERRO",IF(I12&gt;0,(E12/365)*H12*I12,IF(J12&gt;0,((E12/365)*H12*J12)/F12,"")))</f>
        <v>9.1765134246575347E-4</v>
      </c>
      <c r="L12" s="340">
        <f t="shared" ref="L12:L19" si="8">IF(C12&gt;0,IF(AND(I12&gt;0,J12&gt;0),"ERRO",IF(J12&gt;0,(E12/365)*H12*J12,IF(K12&gt;0,K12*F12,""))),"")</f>
        <v>1.6747137000000001</v>
      </c>
      <c r="M12" s="334">
        <f t="shared" ref="M12:M19" si="9">IF(AND(I12&gt;0,J12&gt;0),"ERRO",IF(J12&gt;0,L12/J12,IF(I12&gt;0,K12/I12,"")))</f>
        <v>4.1890410958904113E-4</v>
      </c>
      <c r="N12" s="341">
        <v>46213</v>
      </c>
      <c r="O12" s="335">
        <f t="shared" ref="O12:O19" ca="1" si="10">IF(N12&lt;&gt;"",IF(N12-TODAY()&lt;1,0,N12-TODAY()),"")</f>
        <v>0</v>
      </c>
      <c r="P12" s="334" t="str">
        <f t="shared" ref="P12:P19" si="11">IF(A12&lt;&gt;"",IF(B12="CALL",(IF(C12&gt;=F12,"SIM","NÃO")),IF(B12="PUT",(IF(C12&lt;F12,"SIM","NÃO")),"FECHADO")),"")</f>
        <v>NÃO</v>
      </c>
      <c r="Q12" s="340" t="s">
        <v>174</v>
      </c>
    </row>
    <row r="13" spans="1:17" ht="15.75" customHeight="1" outlineLevel="1" x14ac:dyDescent="0.2">
      <c r="A13" s="335" t="s">
        <v>161</v>
      </c>
      <c r="B13" s="335" t="s">
        <v>67</v>
      </c>
      <c r="C13" s="333">
        <v>1802.17</v>
      </c>
      <c r="D13" s="333">
        <v>1794.49</v>
      </c>
      <c r="E13" s="334">
        <v>0.28220000000000001</v>
      </c>
      <c r="F13" s="339">
        <v>1850</v>
      </c>
      <c r="G13" s="334">
        <f t="shared" si="6"/>
        <v>3.0933580014377338E-2</v>
      </c>
      <c r="H13" s="335">
        <v>3</v>
      </c>
      <c r="I13" s="336">
        <v>2.1915</v>
      </c>
      <c r="J13" s="340"/>
      <c r="K13" s="336">
        <f t="shared" si="7"/>
        <v>5.083079178082193E-3</v>
      </c>
      <c r="L13" s="340">
        <f t="shared" si="8"/>
        <v>9.4036964794520568</v>
      </c>
      <c r="M13" s="334">
        <f t="shared" si="9"/>
        <v>2.319452054794521E-3</v>
      </c>
      <c r="N13" s="341">
        <v>46216</v>
      </c>
      <c r="O13" s="335">
        <f t="shared" ca="1" si="10"/>
        <v>0</v>
      </c>
      <c r="P13" s="334" t="str">
        <f t="shared" si="11"/>
        <v>NÃO</v>
      </c>
      <c r="Q13" s="340" t="s">
        <v>174</v>
      </c>
    </row>
    <row r="14" spans="1:17" ht="15.75" customHeight="1" outlineLevel="1" x14ac:dyDescent="0.2">
      <c r="A14" s="342" t="s">
        <v>154</v>
      </c>
      <c r="B14" s="342" t="s">
        <v>50</v>
      </c>
      <c r="C14" s="345">
        <v>63002.92</v>
      </c>
      <c r="D14" s="345">
        <v>64400.01</v>
      </c>
      <c r="E14" s="344">
        <v>0.64880000000000004</v>
      </c>
      <c r="F14" s="343">
        <v>64000</v>
      </c>
      <c r="G14" s="344">
        <f t="shared" si="6"/>
        <v>6.211334439233814E-3</v>
      </c>
      <c r="H14" s="342">
        <v>3</v>
      </c>
      <c r="I14" s="346"/>
      <c r="J14" s="347">
        <v>1059</v>
      </c>
      <c r="K14" s="346">
        <f t="shared" si="7"/>
        <v>8.8237910958904111E-5</v>
      </c>
      <c r="L14" s="347">
        <f t="shared" si="8"/>
        <v>5.6472263013698631</v>
      </c>
      <c r="M14" s="344">
        <f t="shared" si="9"/>
        <v>5.3326027397260275E-3</v>
      </c>
      <c r="N14" s="348">
        <v>46216</v>
      </c>
      <c r="O14" s="342">
        <f t="shared" ca="1" si="10"/>
        <v>0</v>
      </c>
      <c r="P14" s="344" t="str">
        <f t="shared" si="11"/>
        <v>SIM</v>
      </c>
      <c r="Q14" s="347" t="s">
        <v>174</v>
      </c>
    </row>
    <row r="15" spans="1:17" ht="15.75" customHeight="1" outlineLevel="1" x14ac:dyDescent="0.2">
      <c r="A15" s="335" t="s">
        <v>161</v>
      </c>
      <c r="B15" s="335" t="s">
        <v>67</v>
      </c>
      <c r="C15" s="333">
        <v>1796.99</v>
      </c>
      <c r="D15" s="333">
        <v>1783.45</v>
      </c>
      <c r="E15" s="334">
        <v>0.45629999999999998</v>
      </c>
      <c r="F15" s="339">
        <v>1825</v>
      </c>
      <c r="G15" s="334">
        <f t="shared" si="6"/>
        <v>2.3297541282345988E-2</v>
      </c>
      <c r="H15" s="335">
        <v>1</v>
      </c>
      <c r="I15" s="336">
        <v>2.1964999999999999</v>
      </c>
      <c r="J15" s="340"/>
      <c r="K15" s="336">
        <f t="shared" si="7"/>
        <v>2.7459258904109587E-3</v>
      </c>
      <c r="L15" s="340">
        <f t="shared" si="8"/>
        <v>5.0113147499999995</v>
      </c>
      <c r="M15" s="334">
        <f t="shared" si="9"/>
        <v>1.2501369863013698E-3</v>
      </c>
      <c r="N15" s="341">
        <v>46217</v>
      </c>
      <c r="O15" s="335">
        <f t="shared" ca="1" si="10"/>
        <v>0</v>
      </c>
      <c r="P15" s="334" t="str">
        <f t="shared" si="11"/>
        <v>NÃO</v>
      </c>
      <c r="Q15" s="340" t="s">
        <v>174</v>
      </c>
    </row>
    <row r="16" spans="1:17" ht="15.75" customHeight="1" outlineLevel="1" x14ac:dyDescent="0.2">
      <c r="A16" s="342" t="s">
        <v>161</v>
      </c>
      <c r="B16" s="342" t="s">
        <v>67</v>
      </c>
      <c r="C16" s="345">
        <v>1884.62</v>
      </c>
      <c r="D16" s="345">
        <v>1797.44</v>
      </c>
      <c r="E16" s="344">
        <v>1.0428999999999999</v>
      </c>
      <c r="F16" s="343">
        <v>1825</v>
      </c>
      <c r="G16" s="344">
        <f t="shared" si="6"/>
        <v>1.5332917927719392E-2</v>
      </c>
      <c r="H16" s="342">
        <v>1</v>
      </c>
      <c r="I16" s="346">
        <v>2.1991999999999998</v>
      </c>
      <c r="J16" s="347"/>
      <c r="K16" s="346">
        <f t="shared" si="7"/>
        <v>6.2836867945205476E-3</v>
      </c>
      <c r="L16" s="347">
        <f t="shared" si="8"/>
        <v>11.467728399999999</v>
      </c>
      <c r="M16" s="344">
        <f t="shared" si="9"/>
        <v>2.8572602739726028E-3</v>
      </c>
      <c r="N16" s="348">
        <v>46218</v>
      </c>
      <c r="O16" s="342">
        <f t="shared" ca="1" si="10"/>
        <v>0</v>
      </c>
      <c r="P16" s="344" t="str">
        <f t="shared" si="11"/>
        <v>SIM</v>
      </c>
      <c r="Q16" s="347" t="s">
        <v>174</v>
      </c>
    </row>
    <row r="17" spans="1:17" ht="15.75" customHeight="1" outlineLevel="1" x14ac:dyDescent="0.2">
      <c r="A17" s="335" t="s">
        <v>161</v>
      </c>
      <c r="B17" s="335" t="s">
        <v>50</v>
      </c>
      <c r="C17" s="333">
        <v>1886.5</v>
      </c>
      <c r="D17" s="333">
        <v>1884.24</v>
      </c>
      <c r="E17" s="334">
        <v>1.7241</v>
      </c>
      <c r="F17" s="339">
        <v>1875</v>
      </c>
      <c r="G17" s="334">
        <f t="shared" si="6"/>
        <v>4.9038339065087299E-3</v>
      </c>
      <c r="H17" s="335">
        <v>1</v>
      </c>
      <c r="I17" s="336"/>
      <c r="J17" s="340">
        <v>4025</v>
      </c>
      <c r="K17" s="336">
        <f t="shared" si="7"/>
        <v>1.0139912328767124E-2</v>
      </c>
      <c r="L17" s="340">
        <f t="shared" si="8"/>
        <v>19.012335616438357</v>
      </c>
      <c r="M17" s="334">
        <f t="shared" si="9"/>
        <v>4.7235616438356162E-3</v>
      </c>
      <c r="N17" s="341">
        <v>46219</v>
      </c>
      <c r="O17" s="335">
        <f t="shared" ca="1" si="10"/>
        <v>0</v>
      </c>
      <c r="P17" s="334" t="str">
        <f t="shared" si="11"/>
        <v>NÃO</v>
      </c>
      <c r="Q17" s="340" t="s">
        <v>174</v>
      </c>
    </row>
    <row r="18" spans="1:17" ht="15.75" customHeight="1" outlineLevel="1" x14ac:dyDescent="0.2">
      <c r="A18" s="342" t="s">
        <v>161</v>
      </c>
      <c r="B18" s="342" t="s">
        <v>50</v>
      </c>
      <c r="C18" s="345">
        <v>1836.9</v>
      </c>
      <c r="D18" s="345">
        <v>1887.31</v>
      </c>
      <c r="E18" s="344">
        <v>1.9328000000000001</v>
      </c>
      <c r="F18" s="343">
        <v>1875</v>
      </c>
      <c r="G18" s="344">
        <f t="shared" si="6"/>
        <v>6.5225108752668855E-3</v>
      </c>
      <c r="H18" s="342">
        <v>1</v>
      </c>
      <c r="I18" s="346"/>
      <c r="J18" s="347">
        <v>4044</v>
      </c>
      <c r="K18" s="346">
        <f t="shared" si="7"/>
        <v>1.1420994630136988E-2</v>
      </c>
      <c r="L18" s="347">
        <f t="shared" si="8"/>
        <v>21.414364931506853</v>
      </c>
      <c r="M18" s="344">
        <f t="shared" si="9"/>
        <v>5.2953424657534252E-3</v>
      </c>
      <c r="N18" s="348">
        <v>46220</v>
      </c>
      <c r="O18" s="342">
        <f t="shared" ca="1" si="10"/>
        <v>0</v>
      </c>
      <c r="P18" s="344" t="str">
        <f t="shared" si="11"/>
        <v>SIM</v>
      </c>
      <c r="Q18" s="347" t="s">
        <v>174</v>
      </c>
    </row>
    <row r="19" spans="1:17" ht="15.75" customHeight="1" outlineLevel="1" x14ac:dyDescent="0.2">
      <c r="A19" s="335" t="s">
        <v>161</v>
      </c>
      <c r="B19" s="335" t="s">
        <v>67</v>
      </c>
      <c r="C19" s="333">
        <v>1830.32</v>
      </c>
      <c r="D19" s="333">
        <v>1838.01</v>
      </c>
      <c r="E19" s="334">
        <v>0.49419999999999997</v>
      </c>
      <c r="F19" s="339">
        <v>1875</v>
      </c>
      <c r="G19" s="334">
        <f t="shared" si="6"/>
        <v>2.0125026523250693E-2</v>
      </c>
      <c r="H19" s="335">
        <v>3</v>
      </c>
      <c r="I19" s="336">
        <v>2.1680000000000001</v>
      </c>
      <c r="J19" s="340"/>
      <c r="K19" s="336">
        <f t="shared" si="7"/>
        <v>8.8062378082191771E-3</v>
      </c>
      <c r="L19" s="340">
        <f t="shared" si="8"/>
        <v>16.511695890410959</v>
      </c>
      <c r="M19" s="334">
        <f t="shared" si="9"/>
        <v>4.0619178082191773E-3</v>
      </c>
      <c r="N19" s="341">
        <v>46223</v>
      </c>
      <c r="O19" s="335">
        <f t="shared" ca="1" si="10"/>
        <v>0</v>
      </c>
      <c r="P19" s="334" t="str">
        <f t="shared" si="11"/>
        <v>NÃO</v>
      </c>
      <c r="Q19" s="340" t="s">
        <v>174</v>
      </c>
    </row>
    <row r="20" spans="1:17" ht="15.75" customHeight="1" outlineLevel="1" x14ac:dyDescent="0.2">
      <c r="A20" s="342" t="s">
        <v>161</v>
      </c>
      <c r="B20" s="342" t="s">
        <v>67</v>
      </c>
      <c r="C20" s="345">
        <v>1935.39</v>
      </c>
      <c r="D20" s="345">
        <v>1890.11</v>
      </c>
      <c r="E20" s="344">
        <v>1.6628000000000001</v>
      </c>
      <c r="F20" s="343">
        <v>1875</v>
      </c>
      <c r="G20" s="344">
        <f>IF(A20&lt;&gt;"",IF(D20&gt;0,ABS(D20-F20)/D20,0),"")</f>
        <v>7.994243721264848E-3</v>
      </c>
      <c r="H20" s="342">
        <v>1</v>
      </c>
      <c r="I20" s="346">
        <v>2.1766999999999999</v>
      </c>
      <c r="J20" s="347"/>
      <c r="K20" s="346">
        <f>IF(AND(I20&gt;0,J20&gt;0),"ERRO",IF(I20&gt;0,(E20/365)*H20*I20,IF(J20&gt;0,((E20/365)*H20*J20)/F20,"")))</f>
        <v>9.916210301369863E-3</v>
      </c>
      <c r="L20" s="347">
        <f>IF(C20&gt;0,IF(AND(I20&gt;0,J20&gt;0),"ERRO",IF(J20&gt;0,(E20/365)*H20*J20,IF(K20&gt;0,K20*F20,""))),"")</f>
        <v>18.592894315068492</v>
      </c>
      <c r="M20" s="344">
        <f>IF(AND(I20&gt;0,J20&gt;0),"ERRO",IF(J20&gt;0,L20/J20,IF(I20&gt;0,K20/I20,"")))</f>
        <v>4.5556164383561649E-3</v>
      </c>
      <c r="N20" s="348">
        <v>46224</v>
      </c>
      <c r="O20" s="342">
        <f ca="1">IF(N20&lt;&gt;"",IF(N20-TODAY()&lt;1,0,N20-TODAY()),"")</f>
        <v>0</v>
      </c>
      <c r="P20" s="344" t="str">
        <f>IF(A20&lt;&gt;"",IF(B20="CALL",(IF(C20&gt;=F20,"SIM","NÃO")),IF(B20="PUT",(IF(C20&lt;F20,"SIM","NÃO")),"FECHADO")),"")</f>
        <v>SIM</v>
      </c>
      <c r="Q20" s="347" t="s">
        <v>174</v>
      </c>
    </row>
    <row r="21" spans="1:17" ht="15.75" customHeight="1" outlineLevel="1" x14ac:dyDescent="0.2">
      <c r="A21" s="342" t="s">
        <v>161</v>
      </c>
      <c r="B21" s="342" t="s">
        <v>50</v>
      </c>
      <c r="C21" s="345">
        <v>1913.73</v>
      </c>
      <c r="D21" s="345">
        <v>1936.77</v>
      </c>
      <c r="E21" s="344">
        <v>1.6048</v>
      </c>
      <c r="F21" s="343">
        <v>1925</v>
      </c>
      <c r="G21" s="344">
        <f>IF(A21&lt;&gt;"",IF(D21&gt;0,ABS(D21-F21)/D21,0),"")</f>
        <v>6.0771284148349999E-3</v>
      </c>
      <c r="H21" s="342">
        <v>1</v>
      </c>
      <c r="I21" s="346"/>
      <c r="J21" s="347">
        <v>4100</v>
      </c>
      <c r="K21" s="346">
        <f>IF(AND(I21&gt;0,J21&gt;0),"ERRO",IF(I21&gt;0,(E21/365)*H21*I21,IF(J21&gt;0,((E21/365)*H21*J21)/F21,"")))</f>
        <v>9.3644262586728352E-3</v>
      </c>
      <c r="L21" s="347">
        <f>IF(C21&gt;0,IF(AND(I21&gt;0,J21&gt;0),"ERRO",IF(J21&gt;0,(E21/365)*H21*J21,IF(K21&gt;0,K21*F21,""))),"")</f>
        <v>18.026520547945207</v>
      </c>
      <c r="M21" s="344">
        <f>IF(AND(I21&gt;0,J21&gt;0),"ERRO",IF(J21&gt;0,L21/J21,IF(I21&gt;0,K21/I21,"")))</f>
        <v>4.3967123287671234E-3</v>
      </c>
      <c r="N21" s="348">
        <v>46225</v>
      </c>
      <c r="O21" s="342">
        <f ca="1">IF(N21&lt;&gt;"",IF(N21-TODAY()&lt;1,0,N21-TODAY()),"")</f>
        <v>0</v>
      </c>
      <c r="P21" s="344" t="str">
        <f>IF(A21&lt;&gt;"",IF(B21="CALL",(IF(C21&gt;=F21,"SIM","NÃO")),IF(B21="PUT",(IF(C21&lt;F21,"SIM","NÃO")),"FECHADO")),"")</f>
        <v>SIM</v>
      </c>
      <c r="Q21" s="347" t="s">
        <v>174</v>
      </c>
    </row>
    <row r="22" spans="1:17" ht="15.75" customHeight="1" outlineLevel="1" x14ac:dyDescent="0.2">
      <c r="A22" s="335" t="s">
        <v>161</v>
      </c>
      <c r="B22" s="335" t="s">
        <v>67</v>
      </c>
      <c r="C22" s="333">
        <v>1914.8</v>
      </c>
      <c r="D22" s="333">
        <v>1924.7</v>
      </c>
      <c r="E22" s="334">
        <v>2.1229</v>
      </c>
      <c r="F22" s="339">
        <v>1925</v>
      </c>
      <c r="G22" s="334">
        <f>IF(A22&lt;&gt;"",IF(D22&gt;0,ABS(D22-F22)/D22,0),"")</f>
        <v>1.5586844703068244E-4</v>
      </c>
      <c r="H22" s="335">
        <v>1</v>
      </c>
      <c r="I22" s="336">
        <v>2.1389999999999998</v>
      </c>
      <c r="J22" s="340"/>
      <c r="K22" s="336">
        <f>IF(AND(I22&gt;0,J22&gt;0),"ERRO",IF(I22&gt;0,(E22/365)*H22*I22,IF(J22&gt;0,((E22/365)*H22*J22)/F22,"")))</f>
        <v>1.2440775616438355E-2</v>
      </c>
      <c r="L22" s="340">
        <f>IF(C22&gt;0,IF(AND(I22&gt;0,J22&gt;0),"ERRO",IF(J22&gt;0,(E22/365)*H22*J22,IF(K22&gt;0,K22*F22,""))),"")</f>
        <v>23.948493061643834</v>
      </c>
      <c r="M22" s="334">
        <f>IF(AND(I22&gt;0,J22&gt;0),"ERRO",IF(J22&gt;0,L22/J22,IF(I22&gt;0,K22/I22,"")))</f>
        <v>5.8161643835616438E-3</v>
      </c>
      <c r="N22" s="341">
        <v>46226</v>
      </c>
      <c r="O22" s="335">
        <f ca="1">IF(N22&lt;&gt;"",IF(N22-TODAY()&lt;1,0,N22-TODAY()),"")</f>
        <v>0</v>
      </c>
      <c r="P22" s="334" t="str">
        <f>IF(A22&lt;&gt;"",IF(B22="CALL",(IF(C22&gt;=F22,"SIM","NÃO")),IF(B22="PUT",(IF(C22&lt;F22,"SIM","NÃO")),"FECHADO")),"")</f>
        <v>NÃO</v>
      </c>
      <c r="Q22" s="340" t="s">
        <v>174</v>
      </c>
    </row>
    <row r="23" spans="1:17" ht="15.75" customHeight="1" outlineLevel="1" x14ac:dyDescent="0.2">
      <c r="A23" s="335" t="s">
        <v>161</v>
      </c>
      <c r="B23" s="335" t="s">
        <v>67</v>
      </c>
      <c r="C23" s="333">
        <v>1894.95</v>
      </c>
      <c r="D23" s="333">
        <v>1926.1</v>
      </c>
      <c r="E23" s="334">
        <v>1.1529</v>
      </c>
      <c r="F23" s="339">
        <v>1950</v>
      </c>
      <c r="G23" s="334">
        <f>IF(A23&lt;&gt;"",IF(D23&gt;0,ABS(D23-F23)/D23,0),"")</f>
        <v>1.2408493847671509E-2</v>
      </c>
      <c r="H23" s="335">
        <v>1</v>
      </c>
      <c r="I23" s="336">
        <v>2.1509999999999998</v>
      </c>
      <c r="J23" s="340"/>
      <c r="K23" s="336">
        <f>IF(AND(I23&gt;0,J23&gt;0),"ERRO",IF(I23&gt;0,(E23/365)*H23*I23,IF(J23&gt;0,((E23/365)*H23*J23)/F23,"")))</f>
        <v>6.7942134246575343E-3</v>
      </c>
      <c r="L23" s="340">
        <f>IF(C23&gt;0,IF(AND(I23&gt;0,J23&gt;0),"ERRO",IF(J23&gt;0,(E23/365)*H23*J23,IF(K23&gt;0,K23*F23,""))),"")</f>
        <v>13.248716178082192</v>
      </c>
      <c r="M23" s="334">
        <f>IF(AND(I23&gt;0,J23&gt;0),"ERRO",IF(J23&gt;0,L23/J23,IF(I23&gt;0,K23/I23,"")))</f>
        <v>3.1586301369863016E-3</v>
      </c>
      <c r="N23" s="341">
        <v>46227</v>
      </c>
      <c r="O23" s="335">
        <f ca="1">IF(N23&lt;&gt;"",IF(N23-TODAY()&lt;1,0,N23-TODAY()),"")</f>
        <v>0</v>
      </c>
      <c r="P23" s="334" t="str">
        <f>IF(A23&lt;&gt;"",IF(B23="CALL",(IF(C23&gt;=F23,"SIM","NÃO")),IF(B23="PUT",(IF(C23&lt;F23,"SIM","NÃO")),"FECHADO")),"")</f>
        <v>NÃO</v>
      </c>
      <c r="Q23" s="340" t="s">
        <v>174</v>
      </c>
    </row>
    <row r="24" spans="1:17" ht="15.75" customHeight="1" outlineLevel="1" x14ac:dyDescent="0.2">
      <c r="A24" s="342" t="s">
        <v>161</v>
      </c>
      <c r="B24" s="342" t="s">
        <v>67</v>
      </c>
      <c r="C24" s="345">
        <v>1966.51</v>
      </c>
      <c r="D24" s="345">
        <v>1885.17</v>
      </c>
      <c r="E24" s="344">
        <v>0.27989999999999998</v>
      </c>
      <c r="F24" s="343">
        <v>1950</v>
      </c>
      <c r="G24" s="344">
        <f>IF(A24&lt;&gt;"",IF(D24&gt;0,ABS(D24-F24)/D24,0),"")</f>
        <v>3.438947150654844E-2</v>
      </c>
      <c r="H24" s="342">
        <v>3</v>
      </c>
      <c r="I24" s="346">
        <v>2.1518099999999998</v>
      </c>
      <c r="J24" s="347"/>
      <c r="K24" s="346">
        <f>IF(AND(I24&gt;0,J24&gt;0),"ERRO",IF(I24&gt;0,(E24/365)*H24*I24,IF(J24&gt;0,((E24/365)*H24*J24)/F24,"")))</f>
        <v>4.9503420739726023E-3</v>
      </c>
      <c r="L24" s="347">
        <f>IF(C24&gt;0,IF(AND(I24&gt;0,J24&gt;0),"ERRO",IF(J24&gt;0,(E24/365)*H24*J24,IF(K24&gt;0,K24*F24,""))),"")</f>
        <v>9.6531670442465742</v>
      </c>
      <c r="M24" s="344">
        <f>IF(AND(I24&gt;0,J24&gt;0),"ERRO",IF(J24&gt;0,L24/J24,IF(I24&gt;0,K24/I24,"")))</f>
        <v>2.3005479452054794E-3</v>
      </c>
      <c r="N24" s="348">
        <v>46230</v>
      </c>
      <c r="O24" s="342">
        <f ca="1">IF(N24&lt;&gt;"",IF(N24-TODAY()&lt;1,0,N24-TODAY()),"")</f>
        <v>0</v>
      </c>
      <c r="P24" s="344" t="str">
        <f>IF(A24&lt;&gt;"",IF(B24="CALL",(IF(C24&gt;=F24,"SIM","NÃO")),IF(B24="PUT",(IF(C24&lt;F24,"SIM","NÃO")),"FECHADO")),"")</f>
        <v>SIM</v>
      </c>
      <c r="Q24" s="347" t="s">
        <v>174</v>
      </c>
    </row>
    <row r="25" spans="1:17" ht="15.75" customHeight="1" outlineLevel="1" x14ac:dyDescent="0.2">
      <c r="A25" s="342" t="s">
        <v>161</v>
      </c>
      <c r="B25" s="342" t="s">
        <v>50</v>
      </c>
      <c r="C25" s="345">
        <v>1883.92</v>
      </c>
      <c r="D25" s="345">
        <v>1962.1</v>
      </c>
      <c r="E25" s="344">
        <v>2.0665</v>
      </c>
      <c r="F25" s="343">
        <v>1950</v>
      </c>
      <c r="G25" s="344">
        <f>IF(A25&lt;&gt;"",IF(D25&gt;0,ABS(D25-F25)/D25,0),"")</f>
        <v>6.166862035574084E-3</v>
      </c>
      <c r="H25" s="342">
        <v>1</v>
      </c>
      <c r="I25" s="346"/>
      <c r="J25" s="347">
        <v>4218</v>
      </c>
      <c r="K25" s="346">
        <f>IF(AND(I25&gt;0,J25&gt;0),"ERRO",IF(I25&gt;0,(E25/365)*H25*I25,IF(J25&gt;0,((E25/365)*H25*J25)/F25,"")))</f>
        <v>1.2246571127502633E-2</v>
      </c>
      <c r="L25" s="347">
        <f>IF(C25&gt;0,IF(AND(I25&gt;0,J25&gt;0),"ERRO",IF(J25&gt;0,(E25/365)*H25*J25,IF(K25&gt;0,K25*F25,""))),"")</f>
        <v>23.880813698630135</v>
      </c>
      <c r="M25" s="344">
        <f>IF(AND(I25&gt;0,J25&gt;0),"ERRO",IF(J25&gt;0,L25/J25,IF(I25&gt;0,K25/I25,"")))</f>
        <v>5.6616438356164381E-3</v>
      </c>
      <c r="N25" s="348">
        <v>46231</v>
      </c>
      <c r="O25" s="342">
        <f ca="1">IF(N25&lt;&gt;"",IF(N25-TODAY()&lt;1,0,N25-TODAY()),"")</f>
        <v>0</v>
      </c>
      <c r="P25" s="344" t="str">
        <f>IF(A25&lt;&gt;"",IF(B25="CALL",(IF(C25&gt;=F25,"SIM","NÃO")),IF(B25="PUT",(IF(C25&lt;F25,"SIM","NÃO")),"FECHADO")),"")</f>
        <v>SIM</v>
      </c>
      <c r="Q25" s="347" t="s">
        <v>174</v>
      </c>
    </row>
    <row r="26" spans="1:17" ht="15.75" customHeight="1" outlineLevel="1" x14ac:dyDescent="0.2">
      <c r="A26" s="100" t="s">
        <v>161</v>
      </c>
      <c r="B26" s="264" t="s">
        <v>67</v>
      </c>
      <c r="C26" s="265">
        <v>1873.4</v>
      </c>
      <c r="D26" s="265">
        <v>1877.67</v>
      </c>
      <c r="E26" s="331">
        <v>0.15359999999999999</v>
      </c>
      <c r="F26" s="266">
        <v>1950</v>
      </c>
      <c r="G26" s="331">
        <f>IF(A26&lt;&gt;"",IF(D26&gt;0,ABS(D26-F26)/D26,0),"")</f>
        <v>3.8521145888255087E-2</v>
      </c>
      <c r="H26" s="213">
        <v>1</v>
      </c>
      <c r="I26" s="267">
        <v>2.1751999999999998</v>
      </c>
      <c r="J26" s="268"/>
      <c r="K26" s="269">
        <f>IF(AND(I26&gt;0,J26&gt;0),"ERRO",IF(I26&gt;0,(E26/365)*H26*I26,IF(J26&gt;0,((E26/365)*H26*J26)/F26,"")))</f>
        <v>9.1537183561643813E-4</v>
      </c>
      <c r="L26" s="337">
        <f>IF(C26&gt;0,IF(AND(I26&gt;0,J26&gt;0),"ERRO",IF(J26&gt;0,(E26/365)*H26*J26,IF(K26&gt;0,K26*F26,""))),"")</f>
        <v>1.7849750794520545</v>
      </c>
      <c r="M26" s="331">
        <f>IF(AND(I26&gt;0,J26&gt;0),"ERRO",IF(J26&gt;0,L26/J26,IF(I26&gt;0,K26/I26,"")))</f>
        <v>4.2082191780821912E-4</v>
      </c>
      <c r="N26" s="270">
        <v>46232</v>
      </c>
      <c r="O26" s="213">
        <f ca="1">IF(N26&lt;&gt;"",IF(N26-TODAY()&lt;1,0,N26-TODAY()),"")</f>
        <v>1</v>
      </c>
      <c r="P26" s="331" t="str">
        <f>IF(A26&lt;&gt;"",IF(B26="CALL",(IF(C26&gt;=F26,"SIM","NÃO")),IF(B26="PUT",(IF(C26&lt;F26,"SIM","NÃO")),"FECHADO")),"")</f>
        <v>NÃO</v>
      </c>
      <c r="Q26" s="340" t="s">
        <v>174</v>
      </c>
    </row>
    <row r="27" spans="1:17" ht="6.75" customHeight="1" outlineLevel="1" x14ac:dyDescent="0.2">
      <c r="A27" s="335"/>
      <c r="B27" s="335"/>
      <c r="C27" s="335"/>
      <c r="D27" s="335"/>
      <c r="E27" s="335"/>
      <c r="F27" s="335"/>
      <c r="G27" s="335"/>
      <c r="H27" s="335"/>
      <c r="I27" s="335"/>
      <c r="J27" s="335"/>
      <c r="K27" s="335"/>
      <c r="L27" s="335"/>
      <c r="M27" s="335"/>
      <c r="N27" s="335"/>
      <c r="O27" s="335"/>
      <c r="P27" s="335"/>
      <c r="Q27" s="335"/>
    </row>
    <row r="28" spans="1:17" ht="15.75" customHeight="1" outlineLevel="1" x14ac:dyDescent="0.25">
      <c r="A28" s="332"/>
      <c r="B28" s="332"/>
      <c r="C28" s="332"/>
      <c r="D28" s="332"/>
      <c r="E28" s="332"/>
      <c r="F28" s="332"/>
      <c r="G28" s="332"/>
      <c r="H28" s="332"/>
      <c r="I28" s="332"/>
      <c r="J28" s="332"/>
      <c r="K28" s="338" t="s">
        <v>177</v>
      </c>
      <c r="L28" s="337">
        <f>SUM(L8:L27)</f>
        <v>205.35462552575342</v>
      </c>
      <c r="M28" s="331">
        <v>8.5695890410958913E-3</v>
      </c>
      <c r="N28" s="328"/>
      <c r="O28" s="328"/>
      <c r="P28" s="328"/>
      <c r="Q28" s="328"/>
    </row>
    <row r="29" spans="1:17" ht="15.75" customHeight="1" x14ac:dyDescent="0.2">
      <c r="A29" s="332"/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332"/>
    </row>
    <row r="30" spans="1:17" ht="15.75" customHeight="1" x14ac:dyDescent="0.25">
      <c r="A30" s="376">
        <v>46174</v>
      </c>
      <c r="B30" s="377"/>
      <c r="C30" s="377"/>
      <c r="D30" s="377"/>
      <c r="E30" s="377"/>
      <c r="F30" s="377"/>
      <c r="G30" s="377"/>
      <c r="H30" s="377"/>
      <c r="I30" s="378"/>
      <c r="J30" s="338" t="s">
        <v>156</v>
      </c>
      <c r="K30" s="336">
        <f>SUM(K32:K42)</f>
        <v>4.2055106838126431E-2</v>
      </c>
      <c r="L30" s="286">
        <f>SUM(L32:L39)</f>
        <v>27.603642163013699</v>
      </c>
      <c r="M30" s="334">
        <f>SUM(M32:M39)</f>
        <v>1.8775342465753426E-2</v>
      </c>
      <c r="N30" s="379" t="s">
        <v>171</v>
      </c>
      <c r="O30" s="380"/>
      <c r="P30" s="334">
        <f>AVERAGE(M32:M39)</f>
        <v>2.682191780821918E-3</v>
      </c>
      <c r="Q30" s="332"/>
    </row>
    <row r="31" spans="1:17" ht="15.75" hidden="1" customHeight="1" outlineLevel="1" x14ac:dyDescent="0.25">
      <c r="A31" s="329" t="s">
        <v>96</v>
      </c>
      <c r="B31" s="329" t="s">
        <v>38</v>
      </c>
      <c r="C31" s="329" t="s">
        <v>97</v>
      </c>
      <c r="D31" s="329" t="s">
        <v>167</v>
      </c>
      <c r="E31" s="329" t="s">
        <v>168</v>
      </c>
      <c r="F31" s="329" t="s">
        <v>41</v>
      </c>
      <c r="G31" s="329" t="s">
        <v>42</v>
      </c>
      <c r="H31" s="330" t="s">
        <v>169</v>
      </c>
      <c r="I31" s="381" t="s">
        <v>163</v>
      </c>
      <c r="J31" s="381"/>
      <c r="K31" s="382" t="s">
        <v>162</v>
      </c>
      <c r="L31" s="383"/>
      <c r="M31" s="329" t="s">
        <v>2</v>
      </c>
      <c r="N31" s="330" t="s">
        <v>155</v>
      </c>
      <c r="O31" s="330" t="s">
        <v>47</v>
      </c>
      <c r="P31" s="330" t="s">
        <v>58</v>
      </c>
      <c r="Q31" s="330" t="s">
        <v>176</v>
      </c>
    </row>
    <row r="32" spans="1:17" ht="15.75" hidden="1" customHeight="1" outlineLevel="1" x14ac:dyDescent="0.2">
      <c r="A32" s="342" t="s">
        <v>161</v>
      </c>
      <c r="B32" s="342" t="s">
        <v>50</v>
      </c>
      <c r="C32" s="345">
        <v>1781</v>
      </c>
      <c r="D32" s="345">
        <v>1828.37</v>
      </c>
      <c r="E32" s="344">
        <v>2.8702999999999999</v>
      </c>
      <c r="F32" s="343">
        <v>1800</v>
      </c>
      <c r="G32" s="344">
        <v>1.5516552995290828E-2</v>
      </c>
      <c r="H32" s="342">
        <v>1</v>
      </c>
      <c r="I32" s="346"/>
      <c r="J32" s="347">
        <v>1010</v>
      </c>
      <c r="K32" s="346">
        <v>4.4124855403348557E-3</v>
      </c>
      <c r="L32" s="347">
        <v>7.9424739726027402</v>
      </c>
      <c r="M32" s="344">
        <v>7.8638356164383565E-3</v>
      </c>
      <c r="N32" s="348">
        <v>46177</v>
      </c>
      <c r="O32" s="342">
        <v>0</v>
      </c>
      <c r="P32" s="344" t="s">
        <v>142</v>
      </c>
      <c r="Q32" s="347" t="s">
        <v>174</v>
      </c>
    </row>
    <row r="33" spans="1:17" ht="15.75" hidden="1" customHeight="1" outlineLevel="1" x14ac:dyDescent="0.2">
      <c r="A33" s="335" t="s">
        <v>161</v>
      </c>
      <c r="B33" s="335" t="s">
        <v>67</v>
      </c>
      <c r="C33" s="333">
        <v>1671.48</v>
      </c>
      <c r="D33" s="333">
        <v>1766.95</v>
      </c>
      <c r="E33" s="334">
        <v>6.4399999999999999E-2</v>
      </c>
      <c r="F33" s="339">
        <v>1925</v>
      </c>
      <c r="G33" s="334">
        <v>8.9447918730014966E-2</v>
      </c>
      <c r="H33" s="335">
        <v>4</v>
      </c>
      <c r="I33" s="336">
        <v>2.1838000000000002</v>
      </c>
      <c r="J33" s="340"/>
      <c r="K33" s="336">
        <v>1.5412243287671234E-3</v>
      </c>
      <c r="L33" s="340">
        <v>2.9668568328767124</v>
      </c>
      <c r="M33" s="334">
        <v>7.0575342465753422E-4</v>
      </c>
      <c r="N33" s="341">
        <v>46181</v>
      </c>
      <c r="O33" s="335">
        <f ca="1">IF(N44&lt;&gt;"",IF(N44-TODAY()&lt;1,0,N44-TODAY()),"")</f>
        <v>0</v>
      </c>
      <c r="P33" s="334" t="s">
        <v>150</v>
      </c>
      <c r="Q33" s="340" t="s">
        <v>174</v>
      </c>
    </row>
    <row r="34" spans="1:17" ht="15.75" hidden="1" customHeight="1" outlineLevel="1" x14ac:dyDescent="0.2">
      <c r="A34" s="335" t="s">
        <v>178</v>
      </c>
      <c r="B34" s="335" t="s">
        <v>67</v>
      </c>
      <c r="C34" s="333">
        <v>600.02</v>
      </c>
      <c r="D34" s="333">
        <v>609.66999999999996</v>
      </c>
      <c r="E34" s="334">
        <v>1.0237000000000001</v>
      </c>
      <c r="F34" s="339">
        <v>605</v>
      </c>
      <c r="G34" s="334">
        <f t="shared" ref="G34:G38" si="12">IF(A34&lt;&gt;"",IF(D34&gt;0,ABS(D34-F34)/D34,0),"")</f>
        <v>7.6598815752783626E-3</v>
      </c>
      <c r="H34" s="335">
        <v>1</v>
      </c>
      <c r="I34" s="336">
        <v>5.7000000000000002E-2</v>
      </c>
      <c r="J34" s="340"/>
      <c r="K34" s="336">
        <f t="shared" ref="K34:K38" si="13">IF(AND(I34&gt;0,J34&gt;0),"ERRO",IF(I34&gt;0,(E34/365)*H34*I34,IF(J34&gt;0,((E34/365)*H34*J34)/F34,"")))</f>
        <v>1.5986547945205483E-4</v>
      </c>
      <c r="L34" s="340">
        <f t="shared" ref="L34:L38" si="14">IF(C34&gt;0,IF(AND(I34&gt;0,J34&gt;0),"ERRO",IF(J34&gt;0,(E34/365)*H34*J34,IF(K34&gt;0,K34*F34,""))),"")</f>
        <v>9.6718615068493177E-2</v>
      </c>
      <c r="M34" s="334">
        <f t="shared" ref="M34:M38" si="15">IF(AND(I34&gt;0,J34&gt;0),"ERRO",IF(J34&gt;0,L34/J34,IF(I34&gt;0,K34/I34,"")))</f>
        <v>2.8046575342465757E-3</v>
      </c>
      <c r="N34" s="341">
        <v>46182</v>
      </c>
      <c r="O34" s="335">
        <f t="shared" ref="O34:O38" ca="1" si="16">IF(N34&lt;&gt;"",IF(N34-TODAY()&lt;1,0,N34-TODAY()),"")</f>
        <v>0</v>
      </c>
      <c r="P34" s="334" t="str">
        <f t="shared" ref="P34:P38" si="17">IF(A34&lt;&gt;"",IF(B34="CALL",(IF(C34&gt;=F34,"SIM","NÃO")),IF(B34="PUT",(IF(C34&lt;F34,"SIM","NÃO")),"FECHADO")),"")</f>
        <v>NÃO</v>
      </c>
      <c r="Q34" s="340" t="s">
        <v>174</v>
      </c>
    </row>
    <row r="35" spans="1:17" ht="15.75" hidden="1" customHeight="1" outlineLevel="1" x14ac:dyDescent="0.2">
      <c r="A35" s="335" t="s">
        <v>178</v>
      </c>
      <c r="B35" s="335" t="s">
        <v>67</v>
      </c>
      <c r="C35" s="333">
        <v>600.03</v>
      </c>
      <c r="D35" s="333">
        <v>596.47</v>
      </c>
      <c r="E35" s="334">
        <v>0.39560000000000001</v>
      </c>
      <c r="F35" s="339">
        <v>610</v>
      </c>
      <c r="G35" s="334">
        <f t="shared" si="12"/>
        <v>2.268345432293321E-2</v>
      </c>
      <c r="H35" s="335">
        <v>3</v>
      </c>
      <c r="I35" s="336">
        <v>5.7000000000000002E-2</v>
      </c>
      <c r="J35" s="340"/>
      <c r="K35" s="336">
        <f t="shared" si="13"/>
        <v>1.853358904109589E-4</v>
      </c>
      <c r="L35" s="340">
        <f t="shared" si="14"/>
        <v>0.11305489315068493</v>
      </c>
      <c r="M35" s="334">
        <f t="shared" si="15"/>
        <v>3.2515068493150683E-3</v>
      </c>
      <c r="N35" s="341">
        <v>46185</v>
      </c>
      <c r="O35" s="335">
        <f t="shared" ca="1" si="16"/>
        <v>0</v>
      </c>
      <c r="P35" s="334" t="str">
        <f t="shared" si="17"/>
        <v>NÃO</v>
      </c>
      <c r="Q35" s="340" t="s">
        <v>174</v>
      </c>
    </row>
    <row r="36" spans="1:17" ht="15.75" hidden="1" customHeight="1" outlineLevel="1" x14ac:dyDescent="0.2">
      <c r="A36" s="335" t="s">
        <v>161</v>
      </c>
      <c r="B36" s="335" t="s">
        <v>67</v>
      </c>
      <c r="C36" s="333">
        <v>1771.81</v>
      </c>
      <c r="D36" s="333">
        <v>1796.49</v>
      </c>
      <c r="E36" s="334">
        <v>0.16900000000000001</v>
      </c>
      <c r="F36" s="339">
        <v>1900</v>
      </c>
      <c r="G36" s="334">
        <f t="shared" si="12"/>
        <v>5.7617910480993489E-2</v>
      </c>
      <c r="H36" s="335">
        <v>1</v>
      </c>
      <c r="I36" s="336">
        <v>2.1854</v>
      </c>
      <c r="J36" s="340"/>
      <c r="K36" s="336">
        <f t="shared" si="13"/>
        <v>1.0118701369863014E-3</v>
      </c>
      <c r="L36" s="340">
        <f t="shared" si="14"/>
        <v>1.9225532602739728</v>
      </c>
      <c r="M36" s="334">
        <f t="shared" si="15"/>
        <v>4.63013698630137E-4</v>
      </c>
      <c r="N36" s="341">
        <v>46190</v>
      </c>
      <c r="O36" s="335">
        <f t="shared" ca="1" si="16"/>
        <v>0</v>
      </c>
      <c r="P36" s="334" t="str">
        <f t="shared" si="17"/>
        <v>NÃO</v>
      </c>
      <c r="Q36" s="340" t="s">
        <v>174</v>
      </c>
    </row>
    <row r="37" spans="1:17" ht="15.75" hidden="1" customHeight="1" outlineLevel="1" x14ac:dyDescent="0.2">
      <c r="A37" s="335" t="s">
        <v>161</v>
      </c>
      <c r="B37" s="335" t="s">
        <v>67</v>
      </c>
      <c r="C37" s="333">
        <v>1736.82</v>
      </c>
      <c r="D37" s="333">
        <v>1772.42</v>
      </c>
      <c r="E37" s="334">
        <v>0.19980000000000001</v>
      </c>
      <c r="F37" s="339">
        <v>1875</v>
      </c>
      <c r="G37" s="334">
        <f t="shared" si="12"/>
        <v>5.7875672808927865E-2</v>
      </c>
      <c r="H37" s="335">
        <v>1</v>
      </c>
      <c r="I37" s="336">
        <v>2.1861999999999999</v>
      </c>
      <c r="J37" s="340"/>
      <c r="K37" s="336">
        <f t="shared" si="13"/>
        <v>1.1967198904109589E-3</v>
      </c>
      <c r="L37" s="340">
        <f t="shared" si="14"/>
        <v>2.243849794520548</v>
      </c>
      <c r="M37" s="334">
        <f t="shared" si="15"/>
        <v>5.4739726027397265E-4</v>
      </c>
      <c r="N37" s="341">
        <v>46191</v>
      </c>
      <c r="O37" s="335">
        <f t="shared" ca="1" si="16"/>
        <v>0</v>
      </c>
      <c r="P37" s="334" t="str">
        <f t="shared" si="17"/>
        <v>NÃO</v>
      </c>
      <c r="Q37" s="340" t="s">
        <v>174</v>
      </c>
    </row>
    <row r="38" spans="1:17" ht="15.75" hidden="1" customHeight="1" outlineLevel="1" x14ac:dyDescent="0.2">
      <c r="A38" s="342" t="s">
        <v>154</v>
      </c>
      <c r="B38" s="342" t="s">
        <v>50</v>
      </c>
      <c r="C38" s="345">
        <v>64419</v>
      </c>
      <c r="D38" s="345">
        <v>63219</v>
      </c>
      <c r="E38" s="344">
        <v>1.1457999999999999</v>
      </c>
      <c r="F38" s="343">
        <v>65500</v>
      </c>
      <c r="G38" s="344">
        <f t="shared" si="12"/>
        <v>3.6080925038358719E-2</v>
      </c>
      <c r="H38" s="342">
        <v>1</v>
      </c>
      <c r="I38" s="346"/>
      <c r="J38" s="347">
        <v>3924</v>
      </c>
      <c r="K38" s="346">
        <f t="shared" si="13"/>
        <v>1.880631266339015E-4</v>
      </c>
      <c r="L38" s="347">
        <f t="shared" si="14"/>
        <v>12.318134794520548</v>
      </c>
      <c r="M38" s="344">
        <f t="shared" si="15"/>
        <v>3.1391780821917806E-3</v>
      </c>
      <c r="N38" s="348">
        <v>46191</v>
      </c>
      <c r="O38" s="342">
        <f t="shared" ca="1" si="16"/>
        <v>0</v>
      </c>
      <c r="P38" s="344" t="str">
        <f t="shared" si="17"/>
        <v>SIM</v>
      </c>
      <c r="Q38" s="347" t="s">
        <v>174</v>
      </c>
    </row>
    <row r="39" spans="1:17" ht="6.75" hidden="1" customHeight="1" outlineLevel="1" x14ac:dyDescent="0.2">
      <c r="A39" s="335"/>
      <c r="B39" s="335"/>
      <c r="C39" s="335"/>
      <c r="D39" s="335"/>
      <c r="E39" s="335"/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</row>
    <row r="40" spans="1:17" ht="15.75" hidden="1" customHeight="1" outlineLevel="1" x14ac:dyDescent="0.25">
      <c r="A40" s="332"/>
      <c r="B40" s="332"/>
      <c r="C40" s="332"/>
      <c r="D40" s="332"/>
      <c r="E40" s="332"/>
      <c r="F40" s="332"/>
      <c r="G40" s="332"/>
      <c r="H40" s="332"/>
      <c r="I40" s="332"/>
      <c r="J40" s="332"/>
      <c r="K40" s="338" t="s">
        <v>177</v>
      </c>
      <c r="L40" s="337">
        <f>SUM(L32:L39)</f>
        <v>27.603642163013699</v>
      </c>
      <c r="M40" s="331">
        <v>8.5695890410958913E-3</v>
      </c>
      <c r="N40" s="328"/>
      <c r="O40" s="328"/>
      <c r="P40" s="328"/>
      <c r="Q40" s="328"/>
    </row>
    <row r="41" spans="1:17" ht="15.75" customHeight="1" collapsed="1" x14ac:dyDescent="0.2">
      <c r="A41" s="262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</row>
    <row r="42" spans="1:17" ht="15.75" customHeight="1" x14ac:dyDescent="0.25">
      <c r="A42" s="376">
        <v>46143</v>
      </c>
      <c r="B42" s="377"/>
      <c r="C42" s="377"/>
      <c r="D42" s="377"/>
      <c r="E42" s="377"/>
      <c r="F42" s="377"/>
      <c r="G42" s="377"/>
      <c r="H42" s="377"/>
      <c r="I42" s="378"/>
      <c r="J42" s="281" t="s">
        <v>156</v>
      </c>
      <c r="K42" s="276">
        <f>SUM(K44:K67)</f>
        <v>3.3359542445130279E-2</v>
      </c>
      <c r="L42" s="286">
        <f>SUM(L44:L66)</f>
        <v>147.3943468054795</v>
      </c>
      <c r="M42" s="274">
        <f>SUM(M44:M51)</f>
        <v>5.5840000000000008E-2</v>
      </c>
      <c r="N42" s="379" t="s">
        <v>171</v>
      </c>
      <c r="O42" s="380"/>
      <c r="P42" s="274">
        <f>AVERAGE(M44:M51)</f>
        <v>6.980000000000001E-3</v>
      </c>
      <c r="Q42" s="262"/>
    </row>
    <row r="43" spans="1:17" ht="15.75" hidden="1" customHeight="1" outlineLevel="1" x14ac:dyDescent="0.25">
      <c r="A43" s="327" t="s">
        <v>96</v>
      </c>
      <c r="B43" s="327" t="s">
        <v>38</v>
      </c>
      <c r="C43" s="327" t="s">
        <v>97</v>
      </c>
      <c r="D43" s="327" t="s">
        <v>167</v>
      </c>
      <c r="E43" s="327" t="s">
        <v>168</v>
      </c>
      <c r="F43" s="327" t="s">
        <v>41</v>
      </c>
      <c r="G43" s="327" t="s">
        <v>42</v>
      </c>
      <c r="H43" s="103" t="s">
        <v>169</v>
      </c>
      <c r="I43" s="381" t="s">
        <v>163</v>
      </c>
      <c r="J43" s="381"/>
      <c r="K43" s="382" t="s">
        <v>162</v>
      </c>
      <c r="L43" s="383"/>
      <c r="M43" s="327" t="s">
        <v>2</v>
      </c>
      <c r="N43" s="103" t="s">
        <v>155</v>
      </c>
      <c r="O43" s="103" t="s">
        <v>47</v>
      </c>
      <c r="P43" s="103" t="s">
        <v>58</v>
      </c>
      <c r="Q43" s="103" t="s">
        <v>176</v>
      </c>
    </row>
    <row r="44" spans="1:17" ht="15.75" hidden="1" customHeight="1" outlineLevel="1" x14ac:dyDescent="0.2">
      <c r="A44" s="275" t="s">
        <v>154</v>
      </c>
      <c r="B44" s="275" t="s">
        <v>50</v>
      </c>
      <c r="C44" s="273">
        <v>80569.52</v>
      </c>
      <c r="D44" s="273">
        <v>78936.679999999993</v>
      </c>
      <c r="E44" s="274">
        <v>1.2399</v>
      </c>
      <c r="F44" s="282">
        <v>78500</v>
      </c>
      <c r="G44" s="274">
        <f t="shared" ref="G44:G56" si="18">IF(A44&lt;&gt;"",IF(D44&gt;0,ABS(D44-F44)/D44,0),"")</f>
        <v>5.5320289629611106E-3</v>
      </c>
      <c r="H44" s="275">
        <v>1</v>
      </c>
      <c r="I44" s="276"/>
      <c r="J44" s="283">
        <v>3257.9</v>
      </c>
      <c r="K44" s="276">
        <f t="shared" ref="K44:K56" si="19">IF(AND(I44&gt;0,J44&gt;0),"ERRO",IF(I44&gt;0,(E44/365)*H44*I44,IF(J44&gt;0,((E44/365)*H44*J44)/F44,"")))</f>
        <v>1.4098142256347614E-4</v>
      </c>
      <c r="L44" s="283">
        <f t="shared" ref="L44:L56" si="20">IF(C44&gt;0,IF(AND(I44&gt;0,J44&gt;0),"ERRO",IF(J44&gt;0,(E44/365)*H44*J44,IF(K44&gt;0,K44*F44,""))),"")</f>
        <v>11.067041671232877</v>
      </c>
      <c r="M44" s="274">
        <f t="shared" ref="M44:M56" si="21">IF(AND(I44&gt;0,J44&gt;0),"ERRO",IF(J44&gt;0,L44/J44,IF(I44&gt;0,K44/I44,"")))</f>
        <v>3.3969863013698629E-3</v>
      </c>
      <c r="N44" s="285">
        <v>46147</v>
      </c>
      <c r="O44" s="275">
        <f t="shared" ref="O44:O56" ca="1" si="22">IF(N44&lt;&gt;"",IF(N44-TODAY()&lt;1,0,N44-TODAY()),"")</f>
        <v>0</v>
      </c>
      <c r="P44" s="274" t="str">
        <f t="shared" ref="P44:P56" si="23">IF(A44&lt;&gt;"",IF(B44="CALL",(IF(C44&gt;=F44,"SIM","NÃO")),IF(B44="PUT",(IF(C44&lt;F44,"SIM","NÃO")),"FECHADO")),"")</f>
        <v>NÃO</v>
      </c>
      <c r="Q44" s="283" t="s">
        <v>174</v>
      </c>
    </row>
    <row r="45" spans="1:17" ht="15.75" hidden="1" customHeight="1" outlineLevel="1" x14ac:dyDescent="0.2">
      <c r="A45" s="318" t="s">
        <v>161</v>
      </c>
      <c r="B45" s="318" t="s">
        <v>67</v>
      </c>
      <c r="C45" s="322">
        <v>2354.92</v>
      </c>
      <c r="D45" s="322">
        <v>2339.0500000000002</v>
      </c>
      <c r="E45" s="320">
        <v>1.8711</v>
      </c>
      <c r="F45" s="319">
        <v>2350</v>
      </c>
      <c r="G45" s="320">
        <f t="shared" si="18"/>
        <v>4.681387742886991E-3</v>
      </c>
      <c r="H45" s="318">
        <v>1</v>
      </c>
      <c r="I45" s="323">
        <v>1.7887999999999999</v>
      </c>
      <c r="J45" s="324"/>
      <c r="K45" s="323">
        <f t="shared" si="19"/>
        <v>9.1699278904109581E-3</v>
      </c>
      <c r="L45" s="324">
        <f t="shared" si="20"/>
        <v>21.54933054246575</v>
      </c>
      <c r="M45" s="320">
        <f t="shared" si="21"/>
        <v>5.1263013698630133E-3</v>
      </c>
      <c r="N45" s="325">
        <v>46147</v>
      </c>
      <c r="O45" s="318">
        <f t="shared" ca="1" si="22"/>
        <v>0</v>
      </c>
      <c r="P45" s="320" t="str">
        <f t="shared" si="23"/>
        <v>SIM</v>
      </c>
      <c r="Q45" s="324" t="s">
        <v>174</v>
      </c>
    </row>
    <row r="46" spans="1:17" ht="15.75" hidden="1" customHeight="1" outlineLevel="1" x14ac:dyDescent="0.2">
      <c r="A46" s="275" t="s">
        <v>161</v>
      </c>
      <c r="B46" s="275" t="s">
        <v>50</v>
      </c>
      <c r="C46" s="273">
        <v>2411.46</v>
      </c>
      <c r="D46" s="273">
        <v>2341.13</v>
      </c>
      <c r="E46" s="274">
        <v>3.5390999999999999</v>
      </c>
      <c r="F46" s="282">
        <v>2340.27</v>
      </c>
      <c r="G46" s="274">
        <f t="shared" si="18"/>
        <v>3.6734397491814948E-4</v>
      </c>
      <c r="H46" s="275">
        <v>1</v>
      </c>
      <c r="I46" s="276"/>
      <c r="J46" s="283">
        <v>144.04</v>
      </c>
      <c r="K46" s="276">
        <f t="shared" si="19"/>
        <v>5.9678392570439273E-4</v>
      </c>
      <c r="L46" s="283">
        <f t="shared" si="20"/>
        <v>1.3966355178082193</v>
      </c>
      <c r="M46" s="274">
        <f t="shared" si="21"/>
        <v>9.6961643835616444E-3</v>
      </c>
      <c r="N46" s="285">
        <v>46148</v>
      </c>
      <c r="O46" s="275">
        <f t="shared" ca="1" si="22"/>
        <v>0</v>
      </c>
      <c r="P46" s="274" t="str">
        <f t="shared" si="23"/>
        <v>NÃO</v>
      </c>
      <c r="Q46" s="283" t="s">
        <v>175</v>
      </c>
    </row>
    <row r="47" spans="1:17" ht="15.75" hidden="1" customHeight="1" outlineLevel="1" x14ac:dyDescent="0.2">
      <c r="A47" s="275" t="s">
        <v>154</v>
      </c>
      <c r="B47" s="275" t="s">
        <v>50</v>
      </c>
      <c r="C47" s="273">
        <v>81631.8</v>
      </c>
      <c r="D47" s="273">
        <v>80580.73</v>
      </c>
      <c r="E47" s="274">
        <v>1.0548</v>
      </c>
      <c r="F47" s="282">
        <v>80000</v>
      </c>
      <c r="G47" s="274">
        <f t="shared" si="18"/>
        <v>7.2068098663290335E-3</v>
      </c>
      <c r="H47" s="275">
        <v>1</v>
      </c>
      <c r="I47" s="276"/>
      <c r="J47" s="283">
        <v>3268.65</v>
      </c>
      <c r="K47" s="276">
        <f t="shared" si="19"/>
        <v>1.1807438424657535E-4</v>
      </c>
      <c r="L47" s="283">
        <f t="shared" si="20"/>
        <v>9.4459507397260278</v>
      </c>
      <c r="M47" s="274">
        <f t="shared" si="21"/>
        <v>2.8898630136986302E-3</v>
      </c>
      <c r="N47" s="285">
        <v>46148</v>
      </c>
      <c r="O47" s="275">
        <f t="shared" ca="1" si="22"/>
        <v>0</v>
      </c>
      <c r="P47" s="274" t="str">
        <f t="shared" si="23"/>
        <v>NÃO</v>
      </c>
      <c r="Q47" s="283" t="s">
        <v>174</v>
      </c>
    </row>
    <row r="48" spans="1:17" ht="15.75" hidden="1" customHeight="1" outlineLevel="1" x14ac:dyDescent="0.2">
      <c r="A48" s="275" t="s">
        <v>161</v>
      </c>
      <c r="B48" s="275" t="s">
        <v>50</v>
      </c>
      <c r="C48" s="273">
        <v>2372.87</v>
      </c>
      <c r="D48" s="273">
        <v>2368.9499999999998</v>
      </c>
      <c r="E48" s="274">
        <v>1.5202</v>
      </c>
      <c r="F48" s="282">
        <v>2350</v>
      </c>
      <c r="G48" s="274">
        <f t="shared" si="18"/>
        <v>7.9993245952847541E-3</v>
      </c>
      <c r="H48" s="275">
        <v>1</v>
      </c>
      <c r="I48" s="276"/>
      <c r="J48" s="283">
        <v>4225.2</v>
      </c>
      <c r="K48" s="276">
        <f t="shared" si="19"/>
        <v>7.4883696181871177E-3</v>
      </c>
      <c r="L48" s="283">
        <f t="shared" si="20"/>
        <v>17.597668602739727</v>
      </c>
      <c r="M48" s="274">
        <f t="shared" si="21"/>
        <v>4.1649315068493153E-3</v>
      </c>
      <c r="N48" s="285">
        <v>46148</v>
      </c>
      <c r="O48" s="275">
        <f t="shared" ca="1" si="22"/>
        <v>0</v>
      </c>
      <c r="P48" s="274" t="str">
        <f t="shared" si="23"/>
        <v>NÃO</v>
      </c>
      <c r="Q48" s="283" t="s">
        <v>174</v>
      </c>
    </row>
    <row r="49" spans="1:17" ht="15.75" hidden="1" customHeight="1" outlineLevel="1" x14ac:dyDescent="0.2">
      <c r="A49" s="318" t="s">
        <v>154</v>
      </c>
      <c r="B49" s="318" t="s">
        <v>50</v>
      </c>
      <c r="C49" s="322">
        <v>80910.100000000006</v>
      </c>
      <c r="D49" s="322">
        <v>82187.77</v>
      </c>
      <c r="E49" s="320">
        <v>1.7423</v>
      </c>
      <c r="F49" s="319">
        <v>82000</v>
      </c>
      <c r="G49" s="320">
        <f t="shared" si="18"/>
        <v>2.2846464869408678E-3</v>
      </c>
      <c r="H49" s="318">
        <v>1</v>
      </c>
      <c r="I49" s="323"/>
      <c r="J49" s="324">
        <v>3760.1</v>
      </c>
      <c r="K49" s="323">
        <f t="shared" si="19"/>
        <v>2.1888480554627465E-4</v>
      </c>
      <c r="L49" s="324">
        <f t="shared" si="20"/>
        <v>17.948554054794521</v>
      </c>
      <c r="M49" s="320">
        <f t="shared" si="21"/>
        <v>4.7734246575342467E-3</v>
      </c>
      <c r="N49" s="325">
        <v>46149</v>
      </c>
      <c r="O49" s="318">
        <f t="shared" ca="1" si="22"/>
        <v>0</v>
      </c>
      <c r="P49" s="320" t="str">
        <f t="shared" si="23"/>
        <v>SIM</v>
      </c>
      <c r="Q49" s="324" t="s">
        <v>174</v>
      </c>
    </row>
    <row r="50" spans="1:17" ht="15.75" hidden="1" customHeight="1" outlineLevel="1" x14ac:dyDescent="0.2">
      <c r="A50" s="318" t="s">
        <v>161</v>
      </c>
      <c r="B50" s="318" t="s">
        <v>50</v>
      </c>
      <c r="C50" s="322">
        <v>2345.91</v>
      </c>
      <c r="D50" s="322">
        <v>2411.11</v>
      </c>
      <c r="E50" s="320">
        <v>2.109</v>
      </c>
      <c r="F50" s="319">
        <v>2400</v>
      </c>
      <c r="G50" s="320">
        <f t="shared" si="18"/>
        <v>4.6078362248093731E-3</v>
      </c>
      <c r="H50" s="318">
        <v>1</v>
      </c>
      <c r="I50" s="323"/>
      <c r="J50" s="324">
        <v>3760.2</v>
      </c>
      <c r="K50" s="323">
        <f t="shared" si="19"/>
        <v>9.0528102739726012E-3</v>
      </c>
      <c r="L50" s="324">
        <f t="shared" si="20"/>
        <v>21.726744657534244</v>
      </c>
      <c r="M50" s="320">
        <f t="shared" si="21"/>
        <v>5.7780821917808216E-3</v>
      </c>
      <c r="N50" s="325">
        <v>46149</v>
      </c>
      <c r="O50" s="318">
        <f t="shared" ca="1" si="22"/>
        <v>0</v>
      </c>
      <c r="P50" s="320" t="str">
        <f t="shared" si="23"/>
        <v>SIM</v>
      </c>
      <c r="Q50" s="324" t="s">
        <v>174</v>
      </c>
    </row>
    <row r="51" spans="1:17" ht="15.75" hidden="1" customHeight="1" outlineLevel="1" x14ac:dyDescent="0.2">
      <c r="A51" s="318" t="s">
        <v>161</v>
      </c>
      <c r="B51" s="318" t="s">
        <v>50</v>
      </c>
      <c r="C51" s="322">
        <v>2281.25</v>
      </c>
      <c r="D51" s="322">
        <v>2411.41</v>
      </c>
      <c r="E51" s="320">
        <v>3.6526000000000001</v>
      </c>
      <c r="F51" s="319">
        <v>2409</v>
      </c>
      <c r="G51" s="320">
        <f t="shared" si="18"/>
        <v>9.9941527985695274E-4</v>
      </c>
      <c r="H51" s="318">
        <v>2</v>
      </c>
      <c r="I51" s="323"/>
      <c r="J51" s="324">
        <v>145.44</v>
      </c>
      <c r="K51" s="323">
        <f t="shared" si="19"/>
        <v>1.2083320971016224E-3</v>
      </c>
      <c r="L51" s="324">
        <f t="shared" si="20"/>
        <v>2.9108720219178084</v>
      </c>
      <c r="M51" s="320">
        <f t="shared" si="21"/>
        <v>2.0014246575342468E-2</v>
      </c>
      <c r="N51" s="325">
        <v>46150</v>
      </c>
      <c r="O51" s="318">
        <f t="shared" ca="1" si="22"/>
        <v>0</v>
      </c>
      <c r="P51" s="320" t="str">
        <f t="shared" si="23"/>
        <v>SIM</v>
      </c>
      <c r="Q51" s="324" t="s">
        <v>175</v>
      </c>
    </row>
    <row r="52" spans="1:17" ht="15.75" hidden="1" customHeight="1" outlineLevel="1" x14ac:dyDescent="0.2">
      <c r="A52" s="275" t="s">
        <v>154</v>
      </c>
      <c r="B52" s="275" t="s">
        <v>67</v>
      </c>
      <c r="C52" s="273">
        <v>79899.990000000005</v>
      </c>
      <c r="D52" s="273">
        <v>80837.31</v>
      </c>
      <c r="E52" s="274">
        <v>0.31480000000000002</v>
      </c>
      <c r="F52" s="282">
        <v>82000</v>
      </c>
      <c r="G52" s="274">
        <f t="shared" si="18"/>
        <v>1.4383086225902401E-2</v>
      </c>
      <c r="H52" s="275">
        <v>1</v>
      </c>
      <c r="I52" s="276">
        <v>4.5999999999999999E-2</v>
      </c>
      <c r="J52" s="283"/>
      <c r="K52" s="276">
        <f t="shared" si="19"/>
        <v>3.9673424657534246E-5</v>
      </c>
      <c r="L52" s="283">
        <f t="shared" si="20"/>
        <v>3.2532208219178083</v>
      </c>
      <c r="M52" s="274">
        <f t="shared" si="21"/>
        <v>8.6246575342465749E-4</v>
      </c>
      <c r="N52" s="285">
        <v>46150</v>
      </c>
      <c r="O52" s="275">
        <f t="shared" ca="1" si="22"/>
        <v>0</v>
      </c>
      <c r="P52" s="274" t="str">
        <f t="shared" si="23"/>
        <v>NÃO</v>
      </c>
      <c r="Q52" s="283" t="s">
        <v>174</v>
      </c>
    </row>
    <row r="53" spans="1:17" ht="15.75" hidden="1" customHeight="1" outlineLevel="1" x14ac:dyDescent="0.2">
      <c r="A53" s="275" t="s">
        <v>161</v>
      </c>
      <c r="B53" s="275" t="s">
        <v>67</v>
      </c>
      <c r="C53" s="273">
        <v>2281.09</v>
      </c>
      <c r="D53" s="273">
        <v>2323.5</v>
      </c>
      <c r="E53" s="274">
        <v>0.17499999999999999</v>
      </c>
      <c r="F53" s="282">
        <v>2400</v>
      </c>
      <c r="G53" s="274">
        <f t="shared" si="18"/>
        <v>3.29244673983215E-2</v>
      </c>
      <c r="H53" s="275">
        <v>1</v>
      </c>
      <c r="I53" s="276">
        <v>1.5757000000000001</v>
      </c>
      <c r="J53" s="283"/>
      <c r="K53" s="276">
        <f t="shared" si="19"/>
        <v>7.5547260273972606E-4</v>
      </c>
      <c r="L53" s="283">
        <f t="shared" si="20"/>
        <v>1.8131342465753426</v>
      </c>
      <c r="M53" s="274">
        <f t="shared" si="21"/>
        <v>4.7945205479452054E-4</v>
      </c>
      <c r="N53" s="285">
        <v>46150</v>
      </c>
      <c r="O53" s="275">
        <f t="shared" ca="1" si="22"/>
        <v>0</v>
      </c>
      <c r="P53" s="274" t="str">
        <f t="shared" si="23"/>
        <v>NÃO</v>
      </c>
      <c r="Q53" s="283" t="s">
        <v>174</v>
      </c>
    </row>
    <row r="54" spans="1:17" ht="15.75" hidden="1" customHeight="1" outlineLevel="1" x14ac:dyDescent="0.2">
      <c r="A54" s="275" t="s">
        <v>154</v>
      </c>
      <c r="B54" s="275" t="s">
        <v>67</v>
      </c>
      <c r="C54" s="273">
        <v>80013.59</v>
      </c>
      <c r="D54" s="273">
        <v>79794.740000000005</v>
      </c>
      <c r="E54" s="274">
        <v>0.1179</v>
      </c>
      <c r="F54" s="282">
        <v>82000</v>
      </c>
      <c r="G54" s="274">
        <f t="shared" si="18"/>
        <v>2.7636658757206233E-2</v>
      </c>
      <c r="H54" s="275">
        <v>3</v>
      </c>
      <c r="I54" s="276">
        <v>4.6100000000000002E-2</v>
      </c>
      <c r="J54" s="283"/>
      <c r="K54" s="276">
        <f t="shared" si="19"/>
        <v>4.4672794520547947E-5</v>
      </c>
      <c r="L54" s="283">
        <f t="shared" si="20"/>
        <v>3.6631691506849315</v>
      </c>
      <c r="M54" s="274">
        <f t="shared" si="21"/>
        <v>9.6904109589041098E-4</v>
      </c>
      <c r="N54" s="285">
        <v>46153</v>
      </c>
      <c r="O54" s="275">
        <f t="shared" ca="1" si="22"/>
        <v>0</v>
      </c>
      <c r="P54" s="274" t="str">
        <f t="shared" si="23"/>
        <v>NÃO</v>
      </c>
      <c r="Q54" s="283" t="s">
        <v>174</v>
      </c>
    </row>
    <row r="55" spans="1:17" ht="15.75" hidden="1" customHeight="1" outlineLevel="1" x14ac:dyDescent="0.2">
      <c r="A55" s="275" t="s">
        <v>161</v>
      </c>
      <c r="B55" s="275" t="s">
        <v>67</v>
      </c>
      <c r="C55" s="273">
        <v>2313.25</v>
      </c>
      <c r="D55" s="273">
        <v>2278.9</v>
      </c>
      <c r="E55" s="274">
        <v>8.7999999999999995E-2</v>
      </c>
      <c r="F55" s="282">
        <v>2400</v>
      </c>
      <c r="G55" s="274">
        <f t="shared" si="18"/>
        <v>5.3139672649085042E-2</v>
      </c>
      <c r="H55" s="275">
        <v>3</v>
      </c>
      <c r="I55" s="276">
        <v>1.5763</v>
      </c>
      <c r="J55" s="283"/>
      <c r="K55" s="276">
        <f t="shared" si="19"/>
        <v>1.1401183561643834E-3</v>
      </c>
      <c r="L55" s="283">
        <f t="shared" si="20"/>
        <v>2.7362840547945204</v>
      </c>
      <c r="M55" s="274">
        <f t="shared" si="21"/>
        <v>7.2328767123287666E-4</v>
      </c>
      <c r="N55" s="285">
        <v>46153</v>
      </c>
      <c r="O55" s="275">
        <f t="shared" ca="1" si="22"/>
        <v>0</v>
      </c>
      <c r="P55" s="274" t="str">
        <f t="shared" si="23"/>
        <v>NÃO</v>
      </c>
      <c r="Q55" s="283" t="s">
        <v>174</v>
      </c>
    </row>
    <row r="56" spans="1:17" ht="15.75" hidden="1" customHeight="1" outlineLevel="1" x14ac:dyDescent="0.2">
      <c r="A56" s="275" t="s">
        <v>161</v>
      </c>
      <c r="B56" s="275" t="s">
        <v>67</v>
      </c>
      <c r="C56" s="273">
        <v>2293.0100000000002</v>
      </c>
      <c r="D56" s="273">
        <v>2278.52</v>
      </c>
      <c r="E56" s="274">
        <v>8.8599999999999998E-2</v>
      </c>
      <c r="F56" s="282">
        <v>2400</v>
      </c>
      <c r="G56" s="274">
        <f t="shared" si="18"/>
        <v>5.3315309938029957E-2</v>
      </c>
      <c r="H56" s="275">
        <v>4</v>
      </c>
      <c r="I56" s="276">
        <v>6.0900000000000003E-2</v>
      </c>
      <c r="J56" s="283"/>
      <c r="K56" s="276">
        <f t="shared" si="19"/>
        <v>5.9131397260273973E-5</v>
      </c>
      <c r="L56" s="283">
        <f t="shared" si="20"/>
        <v>0.14191535342465753</v>
      </c>
      <c r="M56" s="274">
        <f t="shared" si="21"/>
        <v>9.7095890410958902E-4</v>
      </c>
      <c r="N56" s="285">
        <v>46154</v>
      </c>
      <c r="O56" s="275">
        <f t="shared" ca="1" si="22"/>
        <v>0</v>
      </c>
      <c r="P56" s="274" t="str">
        <f t="shared" si="23"/>
        <v>NÃO</v>
      </c>
      <c r="Q56" s="283" t="s">
        <v>175</v>
      </c>
    </row>
    <row r="57" spans="1:17" ht="15.75" hidden="1" customHeight="1" outlineLevel="1" x14ac:dyDescent="0.2">
      <c r="A57" s="318" t="s">
        <v>154</v>
      </c>
      <c r="B57" s="318" t="s">
        <v>67</v>
      </c>
      <c r="C57" s="322">
        <v>82047.83</v>
      </c>
      <c r="D57" s="322">
        <v>81320.490000000005</v>
      </c>
      <c r="E57" s="320">
        <v>0.60440000000000005</v>
      </c>
      <c r="F57" s="319">
        <v>82000</v>
      </c>
      <c r="G57" s="320">
        <f t="shared" ref="G57:G65" si="24">IF(A57&lt;&gt;"",IF(D57&gt;0,ABS(D57-F57)/D57,0),"")</f>
        <v>8.3559506343357584E-3</v>
      </c>
      <c r="H57" s="318">
        <v>1</v>
      </c>
      <c r="I57" s="323">
        <v>4.6100000000000002E-2</v>
      </c>
      <c r="J57" s="324"/>
      <c r="K57" s="323">
        <f t="shared" ref="K57:K65" si="25">IF(AND(I57&gt;0,J57&gt;0),"ERRO",IF(I57&gt;0,(E57/365)*H57*I57,IF(J57&gt;0,((E57/365)*H57*J57)/F57,"")))</f>
        <v>7.6336547945205481E-5</v>
      </c>
      <c r="L57" s="324">
        <f t="shared" ref="L57:L65" si="26">IF(C57&gt;0,IF(AND(I57&gt;0,J57&gt;0),"ERRO",IF(J57&gt;0,(E57/365)*H57*J57,IF(K57&gt;0,K57*F57,""))),"")</f>
        <v>6.2595969315068496</v>
      </c>
      <c r="M57" s="320">
        <f t="shared" ref="M57:M65" si="27">IF(AND(I57&gt;0,J57&gt;0),"ERRO",IF(J57&gt;0,L57/J57,IF(I57&gt;0,K57/I57,"")))</f>
        <v>1.655890410958904E-3</v>
      </c>
      <c r="N57" s="325">
        <v>46154</v>
      </c>
      <c r="O57" s="318">
        <f t="shared" ref="O57:O65" ca="1" si="28">IF(N57&lt;&gt;"",IF(N57-TODAY()&lt;1,0,N57-TODAY()),"")</f>
        <v>0</v>
      </c>
      <c r="P57" s="320" t="str">
        <f t="shared" ref="P57:P65" si="29">IF(A57&lt;&gt;"",IF(B57="CALL",(IF(C57&gt;=F57,"SIM","NÃO")),IF(B57="PUT",(IF(C57&lt;F57,"SIM","NÃO")),"FECHADO")),"")</f>
        <v>SIM</v>
      </c>
      <c r="Q57" s="324" t="s">
        <v>174</v>
      </c>
    </row>
    <row r="58" spans="1:17" ht="15.75" hidden="1" customHeight="1" outlineLevel="1" x14ac:dyDescent="0.2">
      <c r="A58" s="275" t="s">
        <v>161</v>
      </c>
      <c r="B58" s="275" t="s">
        <v>67</v>
      </c>
      <c r="C58" s="273">
        <v>2343.6799999999998</v>
      </c>
      <c r="D58" s="273">
        <v>2338.04</v>
      </c>
      <c r="E58" s="274">
        <v>0.20250000000000001</v>
      </c>
      <c r="F58" s="282">
        <v>2400</v>
      </c>
      <c r="G58" s="274">
        <f t="shared" si="24"/>
        <v>2.6500829754837401E-2</v>
      </c>
      <c r="H58" s="275">
        <v>1</v>
      </c>
      <c r="I58" s="276">
        <v>1.5773999999999999</v>
      </c>
      <c r="J58" s="283"/>
      <c r="K58" s="276">
        <f t="shared" si="25"/>
        <v>8.7513287671232875E-4</v>
      </c>
      <c r="L58" s="283">
        <f t="shared" si="26"/>
        <v>2.1003189041095891</v>
      </c>
      <c r="M58" s="274">
        <f t="shared" si="27"/>
        <v>5.5479452054794519E-4</v>
      </c>
      <c r="N58" s="285">
        <v>46154</v>
      </c>
      <c r="O58" s="275">
        <f t="shared" ca="1" si="28"/>
        <v>0</v>
      </c>
      <c r="P58" s="274" t="str">
        <f t="shared" si="29"/>
        <v>NÃO</v>
      </c>
      <c r="Q58" s="283" t="s">
        <v>174</v>
      </c>
    </row>
    <row r="59" spans="1:17" ht="15.75" hidden="1" customHeight="1" outlineLevel="1" x14ac:dyDescent="0.2">
      <c r="A59" s="275" t="s">
        <v>154</v>
      </c>
      <c r="B59" s="275" t="s">
        <v>67</v>
      </c>
      <c r="C59" s="273">
        <v>80856.33</v>
      </c>
      <c r="D59" s="273">
        <v>80819.58</v>
      </c>
      <c r="E59" s="274">
        <v>0.40770000000000001</v>
      </c>
      <c r="F59" s="282">
        <v>82000</v>
      </c>
      <c r="G59" s="274">
        <f t="shared" si="24"/>
        <v>1.4605619083890293E-2</v>
      </c>
      <c r="H59" s="275">
        <v>1</v>
      </c>
      <c r="I59" s="276">
        <v>4.6199999999999998E-2</v>
      </c>
      <c r="J59" s="283"/>
      <c r="K59" s="276">
        <f t="shared" si="25"/>
        <v>5.1604767123287672E-5</v>
      </c>
      <c r="L59" s="283">
        <f t="shared" si="26"/>
        <v>4.2315909041095887</v>
      </c>
      <c r="M59" s="274">
        <f t="shared" si="27"/>
        <v>1.116986301369863E-3</v>
      </c>
      <c r="N59" s="285">
        <v>46155</v>
      </c>
      <c r="O59" s="275">
        <f t="shared" ca="1" si="28"/>
        <v>0</v>
      </c>
      <c r="P59" s="274" t="str">
        <f t="shared" si="29"/>
        <v>NÃO</v>
      </c>
      <c r="Q59" s="283" t="s">
        <v>174</v>
      </c>
    </row>
    <row r="60" spans="1:17" ht="15.75" hidden="1" customHeight="1" outlineLevel="1" x14ac:dyDescent="0.2">
      <c r="A60" s="275" t="s">
        <v>161</v>
      </c>
      <c r="B60" s="275" t="s">
        <v>67</v>
      </c>
      <c r="C60" s="273">
        <v>2264.86</v>
      </c>
      <c r="D60" s="273">
        <v>2289.27</v>
      </c>
      <c r="E60" s="274">
        <v>0.1237</v>
      </c>
      <c r="F60" s="282">
        <v>2400</v>
      </c>
      <c r="G60" s="274">
        <f t="shared" si="24"/>
        <v>4.8369130770944457E-2</v>
      </c>
      <c r="H60" s="275">
        <v>2</v>
      </c>
      <c r="I60" s="276">
        <v>1.639</v>
      </c>
      <c r="J60" s="283"/>
      <c r="K60" s="276">
        <f t="shared" si="25"/>
        <v>1.1109276712328766E-3</v>
      </c>
      <c r="L60" s="283">
        <f t="shared" si="26"/>
        <v>2.6662264109589038</v>
      </c>
      <c r="M60" s="274">
        <f t="shared" si="27"/>
        <v>6.7780821917808216E-4</v>
      </c>
      <c r="N60" s="285">
        <v>46156</v>
      </c>
      <c r="O60" s="275">
        <f t="shared" ca="1" si="28"/>
        <v>0</v>
      </c>
      <c r="P60" s="274" t="str">
        <f t="shared" si="29"/>
        <v>NÃO</v>
      </c>
      <c r="Q60" s="283" t="s">
        <v>174</v>
      </c>
    </row>
    <row r="61" spans="1:17" ht="15.75" hidden="1" customHeight="1" outlineLevel="1" x14ac:dyDescent="0.2">
      <c r="A61" s="275" t="s">
        <v>154</v>
      </c>
      <c r="B61" s="275" t="s">
        <v>67</v>
      </c>
      <c r="C61" s="273">
        <v>79606.34</v>
      </c>
      <c r="D61" s="273">
        <v>80849.990000000005</v>
      </c>
      <c r="E61" s="274">
        <v>0.37030000000000002</v>
      </c>
      <c r="F61" s="282">
        <v>82000</v>
      </c>
      <c r="G61" s="274">
        <f t="shared" si="24"/>
        <v>1.422399681187338E-2</v>
      </c>
      <c r="H61" s="275">
        <v>1</v>
      </c>
      <c r="I61" s="276">
        <v>4.6199999999999998E-2</v>
      </c>
      <c r="J61" s="283"/>
      <c r="K61" s="276">
        <f t="shared" si="25"/>
        <v>4.6870849315068493E-5</v>
      </c>
      <c r="L61" s="283">
        <f t="shared" si="26"/>
        <v>3.8434096438356162</v>
      </c>
      <c r="M61" s="274">
        <f t="shared" si="27"/>
        <v>1.0145205479452056E-3</v>
      </c>
      <c r="N61" s="285">
        <v>46156</v>
      </c>
      <c r="O61" s="275">
        <f t="shared" ca="1" si="28"/>
        <v>0</v>
      </c>
      <c r="P61" s="274" t="str">
        <f t="shared" si="29"/>
        <v>NÃO</v>
      </c>
      <c r="Q61" s="283" t="s">
        <v>174</v>
      </c>
    </row>
    <row r="62" spans="1:17" ht="15.75" hidden="1" customHeight="1" outlineLevel="1" x14ac:dyDescent="0.2">
      <c r="A62" s="275" t="s">
        <v>154</v>
      </c>
      <c r="B62" s="275" t="s">
        <v>67</v>
      </c>
      <c r="C62" s="273">
        <v>80495</v>
      </c>
      <c r="D62" s="273">
        <v>79750</v>
      </c>
      <c r="E62" s="274">
        <v>0.2263</v>
      </c>
      <c r="F62" s="282">
        <v>82000</v>
      </c>
      <c r="G62" s="274">
        <f t="shared" si="24"/>
        <v>2.8213166144200628E-2</v>
      </c>
      <c r="H62" s="275">
        <v>1</v>
      </c>
      <c r="I62" s="276">
        <v>4.6300000000000001E-2</v>
      </c>
      <c r="J62" s="283"/>
      <c r="K62" s="276">
        <f t="shared" si="25"/>
        <v>2.8705999999999999E-5</v>
      </c>
      <c r="L62" s="283">
        <f t="shared" si="26"/>
        <v>2.3538920000000001</v>
      </c>
      <c r="M62" s="274">
        <f t="shared" si="27"/>
        <v>6.2E-4</v>
      </c>
      <c r="N62" s="285">
        <v>46157</v>
      </c>
      <c r="O62" s="275">
        <f t="shared" ca="1" si="28"/>
        <v>0</v>
      </c>
      <c r="P62" s="274" t="str">
        <f t="shared" si="29"/>
        <v>NÃO</v>
      </c>
      <c r="Q62" s="283" t="s">
        <v>174</v>
      </c>
    </row>
    <row r="63" spans="1:17" ht="15.75" hidden="1" customHeight="1" outlineLevel="1" x14ac:dyDescent="0.2">
      <c r="A63" s="275" t="s">
        <v>161</v>
      </c>
      <c r="B63" s="275" t="s">
        <v>67</v>
      </c>
      <c r="C63" s="273">
        <v>2310.8000000000002</v>
      </c>
      <c r="D63" s="273">
        <v>2264.6</v>
      </c>
      <c r="E63" s="274">
        <v>0.1191</v>
      </c>
      <c r="F63" s="282">
        <v>2400</v>
      </c>
      <c r="G63" s="274">
        <f t="shared" si="24"/>
        <v>5.9789808354676365E-2</v>
      </c>
      <c r="H63" s="275">
        <v>1</v>
      </c>
      <c r="I63" s="276">
        <v>1.64</v>
      </c>
      <c r="J63" s="283"/>
      <c r="K63" s="276">
        <f t="shared" si="25"/>
        <v>5.3513424657534244E-4</v>
      </c>
      <c r="L63" s="283">
        <f t="shared" si="26"/>
        <v>1.2843221917808219</v>
      </c>
      <c r="M63" s="274">
        <f t="shared" si="27"/>
        <v>3.2630136986301368E-4</v>
      </c>
      <c r="N63" s="285">
        <v>46157</v>
      </c>
      <c r="O63" s="275">
        <f t="shared" ca="1" si="28"/>
        <v>0</v>
      </c>
      <c r="P63" s="274" t="str">
        <f t="shared" si="29"/>
        <v>NÃO</v>
      </c>
      <c r="Q63" s="283" t="s">
        <v>174</v>
      </c>
    </row>
    <row r="64" spans="1:17" ht="15.75" hidden="1" customHeight="1" outlineLevel="1" x14ac:dyDescent="0.2">
      <c r="A64" s="275" t="s">
        <v>154</v>
      </c>
      <c r="B64" s="275" t="s">
        <v>67</v>
      </c>
      <c r="C64" s="273">
        <v>79160.350000000006</v>
      </c>
      <c r="D64" s="273">
        <v>80458.63</v>
      </c>
      <c r="E64" s="274">
        <v>0.26279999999999998</v>
      </c>
      <c r="F64" s="282">
        <v>82000</v>
      </c>
      <c r="G64" s="274">
        <f t="shared" si="24"/>
        <v>1.9157298601778273E-2</v>
      </c>
      <c r="H64" s="275">
        <v>3</v>
      </c>
      <c r="I64" s="276">
        <v>4.6300000000000001E-2</v>
      </c>
      <c r="J64" s="283"/>
      <c r="K64" s="276">
        <f t="shared" si="25"/>
        <v>1.0000799999999998E-4</v>
      </c>
      <c r="L64" s="283">
        <f t="shared" si="26"/>
        <v>8.2006559999999986</v>
      </c>
      <c r="M64" s="274">
        <f t="shared" si="27"/>
        <v>2.1599999999999996E-3</v>
      </c>
      <c r="N64" s="285">
        <v>46160</v>
      </c>
      <c r="O64" s="275">
        <f t="shared" ca="1" si="28"/>
        <v>0</v>
      </c>
      <c r="P64" s="274" t="str">
        <f t="shared" si="29"/>
        <v>NÃO</v>
      </c>
      <c r="Q64" s="283" t="s">
        <v>174</v>
      </c>
    </row>
    <row r="65" spans="1:17" ht="15.75" hidden="1" customHeight="1" outlineLevel="1" x14ac:dyDescent="0.2">
      <c r="A65" s="275" t="s">
        <v>161</v>
      </c>
      <c r="B65" s="275" t="s">
        <v>67</v>
      </c>
      <c r="C65" s="273">
        <v>2222.16</v>
      </c>
      <c r="D65" s="273">
        <v>2253.4899999999998</v>
      </c>
      <c r="E65" s="274">
        <v>3.7199999999999997E-2</v>
      </c>
      <c r="F65" s="282">
        <v>2400</v>
      </c>
      <c r="G65" s="274">
        <f t="shared" si="24"/>
        <v>6.5014710515689106E-2</v>
      </c>
      <c r="H65" s="275">
        <v>3</v>
      </c>
      <c r="I65" s="276">
        <v>1.6405000000000001</v>
      </c>
      <c r="J65" s="283"/>
      <c r="K65" s="276">
        <f t="shared" si="25"/>
        <v>5.0158849315068486E-4</v>
      </c>
      <c r="L65" s="283">
        <f t="shared" si="26"/>
        <v>1.2038123835616437</v>
      </c>
      <c r="M65" s="274">
        <f t="shared" si="27"/>
        <v>3.0575342465753421E-4</v>
      </c>
      <c r="N65" s="285">
        <v>46160</v>
      </c>
      <c r="O65" s="275">
        <f t="shared" ca="1" si="28"/>
        <v>0</v>
      </c>
      <c r="P65" s="274" t="str">
        <f t="shared" si="29"/>
        <v>NÃO</v>
      </c>
      <c r="Q65" s="283" t="s">
        <v>174</v>
      </c>
    </row>
    <row r="66" spans="1:17" ht="6.75" hidden="1" customHeight="1" outlineLevel="1" x14ac:dyDescent="0.2">
      <c r="A66" s="275"/>
      <c r="B66" s="275"/>
      <c r="C66" s="275"/>
      <c r="D66" s="275"/>
      <c r="E66" s="275"/>
      <c r="F66" s="275"/>
      <c r="G66" s="275"/>
      <c r="H66" s="275"/>
      <c r="I66" s="275"/>
      <c r="J66" s="275"/>
      <c r="K66" s="275"/>
      <c r="L66" s="275"/>
      <c r="M66" s="275"/>
      <c r="N66" s="275"/>
      <c r="O66" s="275"/>
      <c r="P66" s="275"/>
      <c r="Q66" s="275"/>
    </row>
    <row r="67" spans="1:17" ht="15.75" hidden="1" customHeight="1" outlineLevel="1" x14ac:dyDescent="0.2">
      <c r="A67" s="262"/>
      <c r="B67" s="262"/>
      <c r="C67" s="262"/>
      <c r="D67" s="262"/>
      <c r="E67" s="262"/>
      <c r="F67" s="262"/>
      <c r="G67" s="262"/>
      <c r="H67" s="262"/>
      <c r="I67" s="262"/>
      <c r="J67" s="262"/>
      <c r="K67" s="281" t="s">
        <v>177</v>
      </c>
      <c r="L67" s="279">
        <f>SUM(L44:L66)</f>
        <v>147.3943468054795</v>
      </c>
      <c r="M67" s="180">
        <f ca="1">SUMIF(O44:O67,"&gt;0",M44:M67)</f>
        <v>0</v>
      </c>
    </row>
    <row r="68" spans="1:17" ht="15.75" customHeight="1" collapsed="1" x14ac:dyDescent="0.2">
      <c r="A68" s="262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</row>
    <row r="69" spans="1:17" ht="15.75" customHeight="1" x14ac:dyDescent="0.25">
      <c r="A69" s="376">
        <v>46113</v>
      </c>
      <c r="B69" s="377"/>
      <c r="C69" s="377"/>
      <c r="D69" s="377"/>
      <c r="E69" s="377"/>
      <c r="F69" s="377"/>
      <c r="G69" s="377"/>
      <c r="H69" s="377"/>
      <c r="I69" s="378"/>
      <c r="J69" s="281" t="s">
        <v>156</v>
      </c>
      <c r="K69" s="276">
        <f>SUM(K71:K124)</f>
        <v>0.10308911683269902</v>
      </c>
      <c r="L69" s="286">
        <f ca="1">SUM(L71:L124)</f>
        <v>478.5092362515872</v>
      </c>
      <c r="M69" s="274">
        <f ca="1">SUM(M71:M124)</f>
        <v>0.28280794520547947</v>
      </c>
      <c r="N69" s="379" t="s">
        <v>171</v>
      </c>
      <c r="O69" s="380"/>
      <c r="P69" s="274">
        <f ca="1">AVERAGE(M71:M124)</f>
        <v>5.3359989661411217E-3</v>
      </c>
      <c r="Q69" s="262"/>
    </row>
    <row r="70" spans="1:17" ht="15.75" hidden="1" customHeight="1" outlineLevel="1" x14ac:dyDescent="0.25">
      <c r="A70" s="316" t="s">
        <v>96</v>
      </c>
      <c r="B70" s="316" t="s">
        <v>38</v>
      </c>
      <c r="C70" s="316" t="s">
        <v>97</v>
      </c>
      <c r="D70" s="316" t="s">
        <v>167</v>
      </c>
      <c r="E70" s="316" t="s">
        <v>168</v>
      </c>
      <c r="F70" s="316" t="s">
        <v>41</v>
      </c>
      <c r="G70" s="316" t="s">
        <v>42</v>
      </c>
      <c r="H70" s="103" t="s">
        <v>169</v>
      </c>
      <c r="I70" s="381" t="s">
        <v>163</v>
      </c>
      <c r="J70" s="381"/>
      <c r="K70" s="382" t="s">
        <v>162</v>
      </c>
      <c r="L70" s="383"/>
      <c r="M70" s="316" t="s">
        <v>2</v>
      </c>
      <c r="N70" s="103" t="s">
        <v>155</v>
      </c>
      <c r="O70" s="103" t="s">
        <v>47</v>
      </c>
      <c r="P70" s="103" t="s">
        <v>58</v>
      </c>
      <c r="Q70" s="103" t="s">
        <v>176</v>
      </c>
    </row>
    <row r="71" spans="1:17" ht="15.75" hidden="1" customHeight="1" outlineLevel="2" x14ac:dyDescent="0.2">
      <c r="A71" s="318" t="s">
        <v>154</v>
      </c>
      <c r="B71" s="318" t="s">
        <v>50</v>
      </c>
      <c r="C71" s="322">
        <v>66853.19</v>
      </c>
      <c r="D71" s="322">
        <v>67056</v>
      </c>
      <c r="E71" s="320">
        <v>1.4827999999999999</v>
      </c>
      <c r="F71" s="319">
        <v>68000</v>
      </c>
      <c r="G71" s="320">
        <f t="shared" ref="G71:G95" si="30">IF(A71&lt;&gt;"",IF(D71&gt;0,ABS(D71-F71)/D71,0),"")</f>
        <v>1.4077785731329038E-2</v>
      </c>
      <c r="H71" s="318">
        <v>1</v>
      </c>
      <c r="I71" s="323"/>
      <c r="J71" s="324">
        <v>2919</v>
      </c>
      <c r="K71" s="323" t="str">
        <f>IF(I71&gt;0,(E71/365)*H71*I71,"")</f>
        <v/>
      </c>
      <c r="L71" s="324">
        <f>IF(C71&gt;0,IF(AND(I71&gt;0,J71&gt;0),"ERRO",IF(J71&gt;0,(E71/365)*H71*J71,IF(K71&gt;0,K71*F71,""))),"")</f>
        <v>11.858337534246575</v>
      </c>
      <c r="M71" s="320">
        <f>IF(J71&gt;0,L71/J71,IF(I71&gt;0,(K71/I71),""))</f>
        <v>4.0624657534246572E-3</v>
      </c>
      <c r="N71" s="325">
        <v>46115</v>
      </c>
      <c r="O71" s="318">
        <f ca="1">IF(N71&lt;&gt;"",IF(N71-TODAY()&lt;1,0,N71-TODAY()),"")</f>
        <v>0</v>
      </c>
      <c r="P71" s="320" t="str">
        <f t="shared" ref="P71:P95" si="31">IF(A71&lt;&gt;"",IF(B71="CALL",(IF(C71&gt;=F71,"SIM","NÃO")),IF(B71="PUT",(IF(C71&lt;F71,"SIM","NÃO")),"FECHADO")),"")</f>
        <v>SIM</v>
      </c>
      <c r="Q71" s="324" t="s">
        <v>174</v>
      </c>
    </row>
    <row r="72" spans="1:17" ht="15.75" hidden="1" customHeight="1" outlineLevel="2" x14ac:dyDescent="0.2">
      <c r="A72" s="318" t="s">
        <v>161</v>
      </c>
      <c r="B72" s="318" t="s">
        <v>50</v>
      </c>
      <c r="C72" s="322">
        <v>2053.52</v>
      </c>
      <c r="D72" s="322">
        <v>2039.12</v>
      </c>
      <c r="E72" s="320">
        <v>2.3368000000000002</v>
      </c>
      <c r="F72" s="319">
        <v>2125</v>
      </c>
      <c r="G72" s="320">
        <f t="shared" si="30"/>
        <v>4.2116206991251182E-2</v>
      </c>
      <c r="H72" s="318">
        <v>1</v>
      </c>
      <c r="I72" s="323"/>
      <c r="J72" s="324">
        <v>2920.9</v>
      </c>
      <c r="K72" s="323">
        <f>IF(AND(I72&gt;0,J72&gt;0),"ERRO",IF(I72&gt;0,(E72/365)*H72*I72,IF(J72&gt;0,((E72/365)*H72*J72)/F72,"")))</f>
        <v>8.8000762224012905E-3</v>
      </c>
      <c r="L72" s="324">
        <f t="shared" ref="L72:L85" si="32">IF(C72&gt;0,IF(AND(I72&gt;0,J72&gt;0),"ERRO",IF(J72&gt;0,(E72/365)*H72*J72,IF(K72&gt;0,K72*F72,""))),"")</f>
        <v>18.700161972602743</v>
      </c>
      <c r="M72" s="320">
        <f>IF(AND(I72&gt;0,J72&gt;0),"ERRO",IF(J72&gt;0,L72/J72,IF(I72&gt;0,K72/I72,"")))</f>
        <v>6.4021917808219191E-3</v>
      </c>
      <c r="N72" s="325">
        <v>46115</v>
      </c>
      <c r="O72" s="318">
        <f ca="1">IF(N72&lt;&gt;"",IF(N72-TODAY()&lt;1,0,N72-TODAY()),"")</f>
        <v>0</v>
      </c>
      <c r="P72" s="320" t="str">
        <f t="shared" si="31"/>
        <v>SIM</v>
      </c>
      <c r="Q72" s="324" t="s">
        <v>174</v>
      </c>
    </row>
    <row r="73" spans="1:17" ht="15.75" hidden="1" customHeight="1" outlineLevel="2" x14ac:dyDescent="0.2">
      <c r="A73" s="275" t="s">
        <v>154</v>
      </c>
      <c r="B73" s="275" t="s">
        <v>67</v>
      </c>
      <c r="C73" s="273">
        <v>67056</v>
      </c>
      <c r="D73" s="273">
        <v>67056</v>
      </c>
      <c r="E73" s="274">
        <v>0.31280000000000002</v>
      </c>
      <c r="F73" s="282">
        <v>68000</v>
      </c>
      <c r="G73" s="274">
        <f t="shared" si="30"/>
        <v>1.4077785731329038E-2</v>
      </c>
      <c r="H73" s="275">
        <v>1</v>
      </c>
      <c r="I73" s="276">
        <v>4.3099999999999999E-2</v>
      </c>
      <c r="J73" s="283"/>
      <c r="K73" s="276">
        <f>IF(I73&gt;0,(E73/365)*H73*I73,"")</f>
        <v>3.6936109589041103E-5</v>
      </c>
      <c r="L73" s="283">
        <f t="shared" si="32"/>
        <v>2.5116554520547951</v>
      </c>
      <c r="M73" s="274">
        <f>IF(J73&gt;0,L73/J73,IF(I73&gt;0,(K73/I73),""))</f>
        <v>8.5698630136986321E-4</v>
      </c>
      <c r="N73" s="285">
        <v>46115</v>
      </c>
      <c r="O73" s="275">
        <f t="shared" ref="O73:O85" ca="1" si="33">IF(N73&lt;&gt;"",IF(N73-TODAY()&lt;1,0,N73-TODAY()),"")</f>
        <v>0</v>
      </c>
      <c r="P73" s="274" t="str">
        <f t="shared" si="31"/>
        <v>NÃO</v>
      </c>
      <c r="Q73" s="283" t="s">
        <v>174</v>
      </c>
    </row>
    <row r="74" spans="1:17" ht="15.75" hidden="1" customHeight="1" outlineLevel="2" x14ac:dyDescent="0.2">
      <c r="A74" s="275" t="s">
        <v>161</v>
      </c>
      <c r="B74" s="275" t="s">
        <v>67</v>
      </c>
      <c r="C74" s="273">
        <v>2067.48</v>
      </c>
      <c r="D74" s="273">
        <v>2039.12</v>
      </c>
      <c r="E74" s="274">
        <v>0.1867</v>
      </c>
      <c r="F74" s="282">
        <v>2125</v>
      </c>
      <c r="G74" s="274">
        <f t="shared" si="30"/>
        <v>4.2116206991251182E-2</v>
      </c>
      <c r="H74" s="275">
        <v>1</v>
      </c>
      <c r="I74" s="276">
        <v>1.3833</v>
      </c>
      <c r="J74" s="283"/>
      <c r="K74" s="276">
        <f t="shared" ref="K74:K85" si="34">IF(AND(I74&gt;0,J74&gt;0),"ERRO",IF(I74&gt;0,(E74/365)*H74*I74,IF(J74&gt;0,((E74/365)*H74*J74)/F74,"")))</f>
        <v>7.0756742465753416E-4</v>
      </c>
      <c r="L74" s="283">
        <f t="shared" si="32"/>
        <v>1.50358077739726</v>
      </c>
      <c r="M74" s="274">
        <f t="shared" ref="M74:M85" si="35">IF(AND(I74&gt;0,J74&gt;0),"ERRO",IF(J74&gt;0,L74/J74,IF(I74&gt;0,K74/I74,"")))</f>
        <v>5.1150684931506847E-4</v>
      </c>
      <c r="N74" s="285">
        <v>46115</v>
      </c>
      <c r="O74" s="275">
        <f t="shared" ca="1" si="33"/>
        <v>0</v>
      </c>
      <c r="P74" s="274" t="str">
        <f t="shared" si="31"/>
        <v>NÃO</v>
      </c>
      <c r="Q74" s="283" t="s">
        <v>174</v>
      </c>
    </row>
    <row r="75" spans="1:17" ht="15.75" hidden="1" customHeight="1" outlineLevel="2" x14ac:dyDescent="0.2">
      <c r="A75" s="318" t="s">
        <v>154</v>
      </c>
      <c r="B75" s="318" t="s">
        <v>67</v>
      </c>
      <c r="C75" s="322">
        <v>69061</v>
      </c>
      <c r="D75" s="322">
        <v>69736.28</v>
      </c>
      <c r="E75" s="320">
        <v>0.1489</v>
      </c>
      <c r="F75" s="319">
        <v>68500</v>
      </c>
      <c r="G75" s="320">
        <f t="shared" si="30"/>
        <v>1.772793157306353E-2</v>
      </c>
      <c r="H75" s="318">
        <v>1</v>
      </c>
      <c r="I75" s="323">
        <v>4.3099999999999999E-2</v>
      </c>
      <c r="J75" s="324"/>
      <c r="K75" s="323">
        <f t="shared" si="34"/>
        <v>1.7582438356164385E-5</v>
      </c>
      <c r="L75" s="324">
        <f t="shared" si="32"/>
        <v>1.2043970273972604</v>
      </c>
      <c r="M75" s="320">
        <f t="shared" si="35"/>
        <v>4.0794520547945208E-4</v>
      </c>
      <c r="N75" s="325">
        <v>46118</v>
      </c>
      <c r="O75" s="318">
        <f t="shared" ca="1" si="33"/>
        <v>0</v>
      </c>
      <c r="P75" s="320" t="str">
        <f t="shared" si="31"/>
        <v>SIM</v>
      </c>
      <c r="Q75" s="324" t="s">
        <v>174</v>
      </c>
    </row>
    <row r="76" spans="1:17" ht="15.75" hidden="1" customHeight="1" outlineLevel="2" x14ac:dyDescent="0.2">
      <c r="A76" s="275" t="s">
        <v>161</v>
      </c>
      <c r="B76" s="275" t="s">
        <v>67</v>
      </c>
      <c r="C76" s="273">
        <v>2134.15</v>
      </c>
      <c r="D76" s="273">
        <v>2150.31</v>
      </c>
      <c r="E76" s="274">
        <v>0.1106</v>
      </c>
      <c r="F76" s="282">
        <v>2150</v>
      </c>
      <c r="G76" s="274">
        <f t="shared" si="30"/>
        <v>1.4416525989273429E-4</v>
      </c>
      <c r="H76" s="275">
        <v>1</v>
      </c>
      <c r="I76" s="276">
        <v>1.3853</v>
      </c>
      <c r="J76" s="283"/>
      <c r="K76" s="276">
        <f>IF(AND(I76&gt;0,J76&gt;0),"ERRO",IF(I76&gt;0,(E76/365)*H76*I76,IF(J76&gt;0,((E76/365)*H76*J76)/F76,"")))</f>
        <v>4.1976487671232881E-4</v>
      </c>
      <c r="L76" s="283">
        <f t="shared" si="32"/>
        <v>0.90249448493150697</v>
      </c>
      <c r="M76" s="274">
        <f>IF(AND(I76&gt;0,J76&gt;0),"ERRO",IF(J76&gt;0,L76/J76,IF(I76&gt;0,K76/I76,"")))</f>
        <v>3.0301369863013701E-4</v>
      </c>
      <c r="N76" s="285">
        <v>46118</v>
      </c>
      <c r="O76" s="275">
        <f t="shared" ca="1" si="33"/>
        <v>0</v>
      </c>
      <c r="P76" s="274" t="str">
        <f t="shared" si="31"/>
        <v>NÃO</v>
      </c>
      <c r="Q76" s="283" t="s">
        <v>174</v>
      </c>
    </row>
    <row r="77" spans="1:17" ht="15.75" hidden="1" customHeight="1" outlineLevel="2" x14ac:dyDescent="0.2">
      <c r="A77" s="318" t="s">
        <v>154</v>
      </c>
      <c r="B77" s="318" t="s">
        <v>50</v>
      </c>
      <c r="C77" s="322">
        <v>68857</v>
      </c>
      <c r="D77" s="322">
        <v>68857</v>
      </c>
      <c r="E77" s="320">
        <v>1.1412</v>
      </c>
      <c r="F77" s="319">
        <v>69000</v>
      </c>
      <c r="G77" s="320">
        <f t="shared" si="30"/>
        <v>2.076767794124054E-3</v>
      </c>
      <c r="H77" s="318">
        <v>1</v>
      </c>
      <c r="I77" s="323"/>
      <c r="J77" s="324">
        <v>2955.8</v>
      </c>
      <c r="K77" s="323">
        <f>IF(AND(I77&gt;0,J77&gt;0),"ERRO",IF(I77&gt;0,(E77/365)*H77*I77,IF(J77&gt;0,((E77/365)*H77*J77)/F77,"")))</f>
        <v>1.3393523764145327E-4</v>
      </c>
      <c r="L77" s="324">
        <f>IF(C77&gt;0,IF(AND(I77&gt;0,J77&gt;0),"ERRO",IF(J77&gt;0,(E77/365)*H77*J77,IF(K77&gt;0,K77*F77,""))),"")</f>
        <v>9.2415313972602746</v>
      </c>
      <c r="M77" s="320">
        <f>IF(AND(I77&gt;0,J77&gt;0),"ERRO",IF(J77&gt;0,L77/J77,IF(I77&gt;0,K77/I77,"")))</f>
        <v>3.1265753424657536E-3</v>
      </c>
      <c r="N77" s="325">
        <v>46119</v>
      </c>
      <c r="O77" s="318">
        <f ca="1">IF(N77&lt;&gt;"",IF(N77-TODAY()&lt;1,0,N77-TODAY()),"")</f>
        <v>0</v>
      </c>
      <c r="P77" s="320" t="str">
        <f t="shared" si="31"/>
        <v>SIM</v>
      </c>
      <c r="Q77" s="324" t="s">
        <v>174</v>
      </c>
    </row>
    <row r="78" spans="1:17" ht="15.75" hidden="1" customHeight="1" outlineLevel="2" x14ac:dyDescent="0.2">
      <c r="A78" s="275" t="s">
        <v>161</v>
      </c>
      <c r="B78" s="275" t="s">
        <v>67</v>
      </c>
      <c r="C78" s="273">
        <v>2103.35</v>
      </c>
      <c r="D78" s="273">
        <v>2150.31</v>
      </c>
      <c r="E78" s="274">
        <v>1.6019000000000001</v>
      </c>
      <c r="F78" s="282">
        <v>2175</v>
      </c>
      <c r="G78" s="274">
        <f t="shared" si="30"/>
        <v>1.1482065376620141E-2</v>
      </c>
      <c r="H78" s="275">
        <v>1</v>
      </c>
      <c r="I78" s="276">
        <v>1.3853</v>
      </c>
      <c r="J78" s="283"/>
      <c r="K78" s="276">
        <f t="shared" si="34"/>
        <v>6.0797590958904116E-3</v>
      </c>
      <c r="L78" s="283">
        <f t="shared" si="32"/>
        <v>13.223476033561646</v>
      </c>
      <c r="M78" s="274">
        <f t="shared" si="35"/>
        <v>4.3887671232876718E-3</v>
      </c>
      <c r="N78" s="285">
        <v>46119</v>
      </c>
      <c r="O78" s="275">
        <f t="shared" ca="1" si="33"/>
        <v>0</v>
      </c>
      <c r="P78" s="274" t="str">
        <f t="shared" si="31"/>
        <v>NÃO</v>
      </c>
      <c r="Q78" s="283" t="s">
        <v>174</v>
      </c>
    </row>
    <row r="79" spans="1:17" ht="15.75" hidden="1" customHeight="1" outlineLevel="2" x14ac:dyDescent="0.2">
      <c r="A79" s="318" t="s">
        <v>161</v>
      </c>
      <c r="B79" s="318" t="s">
        <v>67</v>
      </c>
      <c r="C79" s="322">
        <v>2250.6999999999998</v>
      </c>
      <c r="D79" s="322">
        <v>2143.5300000000002</v>
      </c>
      <c r="E79" s="320">
        <v>1.8556999999999999</v>
      </c>
      <c r="F79" s="319">
        <v>2150</v>
      </c>
      <c r="G79" s="320">
        <f t="shared" si="30"/>
        <v>3.0183855602673158E-3</v>
      </c>
      <c r="H79" s="318">
        <v>2</v>
      </c>
      <c r="I79" s="323">
        <v>1.5299999999999999E-2</v>
      </c>
      <c r="J79" s="324"/>
      <c r="K79" s="323">
        <f t="shared" si="34"/>
        <v>1.5557375342465751E-4</v>
      </c>
      <c r="L79" s="324">
        <f t="shared" si="32"/>
        <v>0.33448356986301364</v>
      </c>
      <c r="M79" s="320">
        <f t="shared" si="35"/>
        <v>1.0168219178082191E-2</v>
      </c>
      <c r="N79" s="325">
        <v>46120</v>
      </c>
      <c r="O79" s="318">
        <f t="shared" ca="1" si="33"/>
        <v>0</v>
      </c>
      <c r="P79" s="320" t="str">
        <f t="shared" si="31"/>
        <v>SIM</v>
      </c>
      <c r="Q79" s="324" t="s">
        <v>174</v>
      </c>
    </row>
    <row r="80" spans="1:17" ht="15.75" hidden="1" customHeight="1" outlineLevel="2" x14ac:dyDescent="0.2">
      <c r="A80" s="318" t="s">
        <v>154</v>
      </c>
      <c r="B80" s="318" t="s">
        <v>67</v>
      </c>
      <c r="C80" s="322">
        <v>71658</v>
      </c>
      <c r="D80" s="322">
        <v>71636</v>
      </c>
      <c r="E80" s="320">
        <v>1.9282999999999999</v>
      </c>
      <c r="F80" s="319">
        <v>69500</v>
      </c>
      <c r="G80" s="320">
        <f t="shared" si="30"/>
        <v>2.9817410240661119E-2</v>
      </c>
      <c r="H80" s="318">
        <v>1</v>
      </c>
      <c r="I80" s="323">
        <v>4.2999999999999997E-2</v>
      </c>
      <c r="J80" s="324"/>
      <c r="K80" s="323">
        <f t="shared" si="34"/>
        <v>2.2716958904109587E-4</v>
      </c>
      <c r="L80" s="324">
        <f t="shared" si="32"/>
        <v>15.788286438356163</v>
      </c>
      <c r="M80" s="320">
        <f t="shared" si="35"/>
        <v>5.2830136986301368E-3</v>
      </c>
      <c r="N80" s="325">
        <v>46120</v>
      </c>
      <c r="O80" s="318">
        <f t="shared" ca="1" si="33"/>
        <v>0</v>
      </c>
      <c r="P80" s="320" t="str">
        <f t="shared" si="31"/>
        <v>SIM</v>
      </c>
      <c r="Q80" s="324" t="s">
        <v>174</v>
      </c>
    </row>
    <row r="81" spans="1:17" ht="15.75" hidden="1" customHeight="1" outlineLevel="2" x14ac:dyDescent="0.2">
      <c r="A81" s="318" t="s">
        <v>161</v>
      </c>
      <c r="B81" s="318" t="s">
        <v>67</v>
      </c>
      <c r="C81" s="322">
        <v>2250.6999999999998</v>
      </c>
      <c r="D81" s="322">
        <v>2249.6999999999998</v>
      </c>
      <c r="E81" s="320">
        <v>1.8565</v>
      </c>
      <c r="F81" s="319">
        <v>2150</v>
      </c>
      <c r="G81" s="320">
        <f t="shared" si="30"/>
        <v>4.4317020047117316E-2</v>
      </c>
      <c r="H81" s="318">
        <v>1</v>
      </c>
      <c r="I81" s="323">
        <v>1.5299999999999999E-2</v>
      </c>
      <c r="J81" s="324"/>
      <c r="K81" s="323">
        <f t="shared" si="34"/>
        <v>7.7820410958904111E-5</v>
      </c>
      <c r="L81" s="324">
        <f t="shared" si="32"/>
        <v>0.16731388356164384</v>
      </c>
      <c r="M81" s="320">
        <f t="shared" si="35"/>
        <v>5.086301369863014E-3</v>
      </c>
      <c r="N81" s="325">
        <v>46120</v>
      </c>
      <c r="O81" s="318">
        <f t="shared" ca="1" si="33"/>
        <v>0</v>
      </c>
      <c r="P81" s="320" t="str">
        <f t="shared" si="31"/>
        <v>SIM</v>
      </c>
      <c r="Q81" s="324" t="s">
        <v>174</v>
      </c>
    </row>
    <row r="82" spans="1:17" ht="15.75" hidden="1" customHeight="1" outlineLevel="2" x14ac:dyDescent="0.2">
      <c r="A82" s="318" t="s">
        <v>154</v>
      </c>
      <c r="B82" s="318" t="s">
        <v>50</v>
      </c>
      <c r="C82" s="322">
        <v>71004.350000000006</v>
      </c>
      <c r="D82" s="322">
        <v>71004.350000000006</v>
      </c>
      <c r="E82" s="320">
        <v>1.7225999999999999</v>
      </c>
      <c r="F82" s="319">
        <v>71500</v>
      </c>
      <c r="G82" s="320">
        <f t="shared" si="30"/>
        <v>6.9805582334039268E-3</v>
      </c>
      <c r="H82" s="318">
        <v>1</v>
      </c>
      <c r="I82" s="323">
        <v>4.2999999999999997E-2</v>
      </c>
      <c r="J82" s="324"/>
      <c r="K82" s="323">
        <f>IF(AND(I82&gt;0,J82&gt;0),"ERRO",IF(I82&gt;0,(E82/365)*H82*I82,IF(J82&gt;0,((E82/365)*H82*J82)/F82,"")))</f>
        <v>2.0293643835616435E-4</v>
      </c>
      <c r="L82" s="324">
        <f>IF(C82&gt;0,IF(AND(I82&gt;0,J82&gt;0),"ERRO",IF(J82&gt;0,(E82/365)*H82*J82,IF(K82&gt;0,K82*F82,""))),"")</f>
        <v>14.509955342465751</v>
      </c>
      <c r="M82" s="320">
        <f>IF(AND(I82&gt;0,J82&gt;0),"ERRO",IF(J82&gt;0,L82/J82,IF(I82&gt;0,K82/I82,"")))</f>
        <v>4.7194520547945203E-3</v>
      </c>
      <c r="N82" s="325">
        <v>46121</v>
      </c>
      <c r="O82" s="318">
        <f ca="1">IF(N82&lt;&gt;"",IF(N82-TODAY()&lt;1,0,N82-TODAY()),"")</f>
        <v>0</v>
      </c>
      <c r="P82" s="320" t="str">
        <f t="shared" si="31"/>
        <v>SIM</v>
      </c>
      <c r="Q82" s="324" t="s">
        <v>174</v>
      </c>
    </row>
    <row r="83" spans="1:17" ht="15.75" hidden="1" customHeight="1" outlineLevel="2" x14ac:dyDescent="0.2">
      <c r="A83" s="318" t="s">
        <v>161</v>
      </c>
      <c r="B83" s="318" t="s">
        <v>50</v>
      </c>
      <c r="C83" s="322">
        <v>2181.98</v>
      </c>
      <c r="D83" s="322">
        <v>2181.98</v>
      </c>
      <c r="E83" s="320">
        <v>1.6365000000000001</v>
      </c>
      <c r="F83" s="319">
        <v>2225</v>
      </c>
      <c r="G83" s="320">
        <f t="shared" si="30"/>
        <v>1.9716037727201891E-2</v>
      </c>
      <c r="H83" s="318">
        <v>1</v>
      </c>
      <c r="I83" s="323">
        <v>1.5299999999999999E-2</v>
      </c>
      <c r="J83" s="324"/>
      <c r="K83" s="323">
        <f>IF(AND(I83&gt;0,J83&gt;0),"ERRO",IF(I83&gt;0,(E83/365)*H83*I83,IF(J83&gt;0,((E83/365)*H83*J83)/F83,"")))</f>
        <v>6.859849315068493E-5</v>
      </c>
      <c r="L83" s="324">
        <f>IF(C83&gt;0,IF(AND(I83&gt;0,J83&gt;0),"ERRO",IF(J83&gt;0,(E83/365)*H83*J83,IF(K83&gt;0,K83*F83,""))),"")</f>
        <v>0.15263164726027398</v>
      </c>
      <c r="M83" s="320">
        <f>IF(AND(I83&gt;0,J83&gt;0),"ERRO",IF(J83&gt;0,L83/J83,IF(I83&gt;0,K83/I83,"")))</f>
        <v>4.4835616438356164E-3</v>
      </c>
      <c r="N83" s="325">
        <v>46121</v>
      </c>
      <c r="O83" s="318">
        <f ca="1">IF(N83&lt;&gt;"",IF(N83-TODAY()&lt;1,0,N83-TODAY()),"")</f>
        <v>0</v>
      </c>
      <c r="P83" s="320" t="str">
        <f t="shared" si="31"/>
        <v>SIM</v>
      </c>
      <c r="Q83" s="324" t="s">
        <v>174</v>
      </c>
    </row>
    <row r="84" spans="1:17" ht="15.75" hidden="1" customHeight="1" outlineLevel="2" x14ac:dyDescent="0.2">
      <c r="A84" s="275" t="s">
        <v>154</v>
      </c>
      <c r="B84" s="275" t="s">
        <v>67</v>
      </c>
      <c r="C84" s="312">
        <v>71641</v>
      </c>
      <c r="D84" s="312">
        <v>71004.350000000006</v>
      </c>
      <c r="E84" s="274">
        <v>1.1106</v>
      </c>
      <c r="F84" s="282">
        <v>72000</v>
      </c>
      <c r="G84" s="274">
        <f t="shared" si="30"/>
        <v>1.4022380318952206E-2</v>
      </c>
      <c r="H84" s="275">
        <v>1</v>
      </c>
      <c r="I84" s="276"/>
      <c r="J84" s="283">
        <v>3021</v>
      </c>
      <c r="K84" s="276">
        <f>IF(AND(I84&gt;0,J84&gt;0),"ERRO",IF(I84&gt;0,(E84/365)*H84*I84,IF(J84&gt;0,((E84/365)*H84*J84)/F84,"")))</f>
        <v>1.2766828767123289E-4</v>
      </c>
      <c r="L84" s="283">
        <f t="shared" si="32"/>
        <v>9.192116712328767</v>
      </c>
      <c r="M84" s="274">
        <f>IF(AND(I84&gt;0,J84&gt;0),"ERRO",IF(J84&gt;0,L84/J84,IF(I84&gt;0,K84/I84,"")))</f>
        <v>3.0427397260273971E-3</v>
      </c>
      <c r="N84" s="285">
        <v>46122</v>
      </c>
      <c r="O84" s="275">
        <f ca="1">IF(N84&lt;&gt;"",IF(N84-TODAY()&lt;1,0,N84-TODAY()),"")</f>
        <v>0</v>
      </c>
      <c r="P84" s="274" t="str">
        <f t="shared" si="31"/>
        <v>NÃO</v>
      </c>
      <c r="Q84" s="283" t="s">
        <v>174</v>
      </c>
    </row>
    <row r="85" spans="1:17" ht="15.75" hidden="1" customHeight="1" outlineLevel="2" x14ac:dyDescent="0.2">
      <c r="A85" s="275" t="s">
        <v>161</v>
      </c>
      <c r="B85" s="275" t="s">
        <v>67</v>
      </c>
      <c r="C85" s="273">
        <v>2183.35</v>
      </c>
      <c r="D85" s="273">
        <v>2248.73</v>
      </c>
      <c r="E85" s="274">
        <v>1.1509</v>
      </c>
      <c r="F85" s="282">
        <v>2225</v>
      </c>
      <c r="G85" s="274">
        <f t="shared" si="30"/>
        <v>1.0552623036113725E-2</v>
      </c>
      <c r="H85" s="275">
        <v>1</v>
      </c>
      <c r="I85" s="276"/>
      <c r="J85" s="283">
        <v>3022.3</v>
      </c>
      <c r="K85" s="276">
        <f t="shared" si="34"/>
        <v>4.283041489918424E-3</v>
      </c>
      <c r="L85" s="283">
        <f t="shared" si="32"/>
        <v>9.5297673150684936</v>
      </c>
      <c r="M85" s="274">
        <f t="shared" si="35"/>
        <v>3.1531506849315069E-3</v>
      </c>
      <c r="N85" s="285">
        <v>46122</v>
      </c>
      <c r="O85" s="275">
        <f t="shared" ca="1" si="33"/>
        <v>0</v>
      </c>
      <c r="P85" s="274" t="str">
        <f t="shared" si="31"/>
        <v>NÃO</v>
      </c>
      <c r="Q85" s="283" t="s">
        <v>174</v>
      </c>
    </row>
    <row r="86" spans="1:17" ht="15.75" hidden="1" customHeight="1" outlineLevel="2" x14ac:dyDescent="0.2">
      <c r="A86" s="275" t="s">
        <v>154</v>
      </c>
      <c r="B86" s="275" t="s">
        <v>67</v>
      </c>
      <c r="C86" s="312">
        <v>70774.054000000004</v>
      </c>
      <c r="D86" s="273">
        <v>71773.539999999994</v>
      </c>
      <c r="E86" s="274">
        <v>1.0386</v>
      </c>
      <c r="F86" s="282">
        <v>72000</v>
      </c>
      <c r="G86" s="274">
        <f t="shared" si="30"/>
        <v>3.1552017637698575E-3</v>
      </c>
      <c r="H86" s="275">
        <v>3</v>
      </c>
      <c r="I86" s="276">
        <v>4.2599999999999999E-2</v>
      </c>
      <c r="J86" s="283"/>
      <c r="K86" s="276">
        <f t="shared" ref="K86:K95" si="36">IF(AND(I86&gt;0,J86&gt;0),"ERRO",IF(I86&gt;0,(E86/365)*H86*I86,IF(J86&gt;0,((E86/365)*H86*J86)/F86,"")))</f>
        <v>3.636522739726027E-4</v>
      </c>
      <c r="L86" s="283">
        <f t="shared" ref="L86:L95" si="37">IF(C86&gt;0,IF(AND(I86&gt;0,J86&gt;0),"ERRO",IF(J86&gt;0,(E86/365)*H86*J86,IF(K86&gt;0,K86*F86,""))),"")</f>
        <v>26.182963726027396</v>
      </c>
      <c r="M86" s="274">
        <f t="shared" ref="M86:M95" si="38">IF(AND(I86&gt;0,J86&gt;0),"ERRO",IF(J86&gt;0,L86/J86,IF(I86&gt;0,K86/I86,"")))</f>
        <v>8.5364383561643831E-3</v>
      </c>
      <c r="N86" s="285">
        <v>46125</v>
      </c>
      <c r="O86" s="275">
        <f t="shared" ref="O86:O95" ca="1" si="39">IF(N86&lt;&gt;"",IF(N86-TODAY()&lt;1,0,N86-TODAY()),"")</f>
        <v>0</v>
      </c>
      <c r="P86" s="274" t="str">
        <f t="shared" si="31"/>
        <v>NÃO</v>
      </c>
      <c r="Q86" s="283" t="s">
        <v>174</v>
      </c>
    </row>
    <row r="87" spans="1:17" ht="15.75" hidden="1" customHeight="1" outlineLevel="2" x14ac:dyDescent="0.2">
      <c r="A87" s="275" t="s">
        <v>161</v>
      </c>
      <c r="B87" s="275" t="s">
        <v>67</v>
      </c>
      <c r="C87" s="273">
        <v>2186.9</v>
      </c>
      <c r="D87" s="273">
        <v>2192.06</v>
      </c>
      <c r="E87" s="274">
        <v>0.89390000000000003</v>
      </c>
      <c r="F87" s="282">
        <v>2225</v>
      </c>
      <c r="G87" s="274">
        <f t="shared" si="30"/>
        <v>1.5026960940850185E-2</v>
      </c>
      <c r="H87" s="275">
        <v>3</v>
      </c>
      <c r="I87" s="276">
        <v>1.3686</v>
      </c>
      <c r="J87" s="283"/>
      <c r="K87" s="276">
        <f t="shared" si="36"/>
        <v>1.005527293150685E-2</v>
      </c>
      <c r="L87" s="283">
        <f t="shared" si="37"/>
        <v>22.372982272602741</v>
      </c>
      <c r="M87" s="274">
        <f t="shared" si="38"/>
        <v>7.3471232876712329E-3</v>
      </c>
      <c r="N87" s="285">
        <v>46125</v>
      </c>
      <c r="O87" s="275">
        <f t="shared" ca="1" si="39"/>
        <v>0</v>
      </c>
      <c r="P87" s="274" t="str">
        <f t="shared" si="31"/>
        <v>NÃO</v>
      </c>
      <c r="Q87" s="283" t="s">
        <v>174</v>
      </c>
    </row>
    <row r="88" spans="1:17" ht="15.75" hidden="1" customHeight="1" outlineLevel="2" x14ac:dyDescent="0.2">
      <c r="A88" s="318" t="s">
        <v>154</v>
      </c>
      <c r="B88" s="318" t="s">
        <v>67</v>
      </c>
      <c r="C88" s="322">
        <v>74548.039999999994</v>
      </c>
      <c r="D88" s="322">
        <v>70777.539999999994</v>
      </c>
      <c r="E88" s="320">
        <v>0.4672</v>
      </c>
      <c r="F88" s="319">
        <v>72000</v>
      </c>
      <c r="G88" s="320">
        <f t="shared" si="30"/>
        <v>1.7271863362304008E-2</v>
      </c>
      <c r="H88" s="318">
        <v>1</v>
      </c>
      <c r="I88" s="323">
        <v>4.2999999999999997E-2</v>
      </c>
      <c r="J88" s="324"/>
      <c r="K88" s="323">
        <f t="shared" si="36"/>
        <v>5.5040000000000002E-5</v>
      </c>
      <c r="L88" s="324">
        <f t="shared" si="37"/>
        <v>3.9628800000000002</v>
      </c>
      <c r="M88" s="320">
        <f t="shared" si="38"/>
        <v>1.2800000000000001E-3</v>
      </c>
      <c r="N88" s="325">
        <v>46126</v>
      </c>
      <c r="O88" s="318">
        <f t="shared" ca="1" si="39"/>
        <v>0</v>
      </c>
      <c r="P88" s="320" t="str">
        <f t="shared" si="31"/>
        <v>SIM</v>
      </c>
      <c r="Q88" s="324" t="s">
        <v>174</v>
      </c>
    </row>
    <row r="89" spans="1:17" ht="15.75" hidden="1" customHeight="1" outlineLevel="2" x14ac:dyDescent="0.2">
      <c r="A89" s="318" t="s">
        <v>161</v>
      </c>
      <c r="B89" s="318" t="s">
        <v>67</v>
      </c>
      <c r="C89" s="322">
        <v>2247.3200000000002</v>
      </c>
      <c r="D89" s="322">
        <v>2187.08</v>
      </c>
      <c r="E89" s="320">
        <v>1.0653999999999999</v>
      </c>
      <c r="F89" s="319">
        <v>2225</v>
      </c>
      <c r="G89" s="320">
        <f t="shared" si="30"/>
        <v>1.7338186074583498E-2</v>
      </c>
      <c r="H89" s="318">
        <v>1</v>
      </c>
      <c r="I89" s="323">
        <v>1.3785000000000001</v>
      </c>
      <c r="J89" s="324"/>
      <c r="K89" s="323">
        <f t="shared" si="36"/>
        <v>4.0237093150684933E-3</v>
      </c>
      <c r="L89" s="324">
        <f t="shared" si="37"/>
        <v>8.9527532260273972</v>
      </c>
      <c r="M89" s="320">
        <f t="shared" si="38"/>
        <v>2.9189041095890409E-3</v>
      </c>
      <c r="N89" s="325">
        <v>46126</v>
      </c>
      <c r="O89" s="318">
        <f t="shared" ca="1" si="39"/>
        <v>0</v>
      </c>
      <c r="P89" s="320" t="str">
        <f t="shared" si="31"/>
        <v>SIM</v>
      </c>
      <c r="Q89" s="324" t="s">
        <v>174</v>
      </c>
    </row>
    <row r="90" spans="1:17" ht="15.75" hidden="1" customHeight="1" outlineLevel="2" x14ac:dyDescent="0.2">
      <c r="A90" s="318" t="s">
        <v>154</v>
      </c>
      <c r="B90" s="318" t="s">
        <v>50</v>
      </c>
      <c r="C90" s="322">
        <v>73939.240000000005</v>
      </c>
      <c r="D90" s="322">
        <v>74508.95</v>
      </c>
      <c r="E90" s="320">
        <v>1.4816</v>
      </c>
      <c r="F90" s="319">
        <v>74000</v>
      </c>
      <c r="G90" s="320">
        <f t="shared" si="30"/>
        <v>6.8307230205229994E-3</v>
      </c>
      <c r="H90" s="318">
        <v>1</v>
      </c>
      <c r="I90" s="323"/>
      <c r="J90" s="324">
        <v>3087.9</v>
      </c>
      <c r="K90" s="323">
        <f t="shared" si="36"/>
        <v>1.6938291891891894E-4</v>
      </c>
      <c r="L90" s="324">
        <f t="shared" si="37"/>
        <v>12.534336000000001</v>
      </c>
      <c r="M90" s="320">
        <f t="shared" si="38"/>
        <v>4.0591780821917813E-3</v>
      </c>
      <c r="N90" s="325">
        <v>46127</v>
      </c>
      <c r="O90" s="318">
        <f t="shared" ca="1" si="39"/>
        <v>0</v>
      </c>
      <c r="P90" s="320" t="str">
        <f t="shared" si="31"/>
        <v>SIM</v>
      </c>
      <c r="Q90" s="324" t="s">
        <v>174</v>
      </c>
    </row>
    <row r="91" spans="1:17" ht="15.75" hidden="1" customHeight="1" outlineLevel="2" x14ac:dyDescent="0.2">
      <c r="A91" s="318" t="s">
        <v>161</v>
      </c>
      <c r="B91" s="318" t="s">
        <v>50</v>
      </c>
      <c r="C91" s="322">
        <v>2310.8200000000002</v>
      </c>
      <c r="D91" s="322">
        <v>2382.36</v>
      </c>
      <c r="E91" s="320">
        <v>2.9657</v>
      </c>
      <c r="F91" s="319">
        <v>2375</v>
      </c>
      <c r="G91" s="320">
        <f t="shared" si="30"/>
        <v>3.089373562349992E-3</v>
      </c>
      <c r="H91" s="318">
        <v>1</v>
      </c>
      <c r="I91" s="323"/>
      <c r="J91" s="324">
        <v>3087.9</v>
      </c>
      <c r="K91" s="323">
        <f t="shared" si="36"/>
        <v>1.0564135578947368E-2</v>
      </c>
      <c r="L91" s="324">
        <f t="shared" si="37"/>
        <v>25.089821999999998</v>
      </c>
      <c r="M91" s="320">
        <f t="shared" si="38"/>
        <v>8.1252054794520544E-3</v>
      </c>
      <c r="N91" s="325">
        <v>46127</v>
      </c>
      <c r="O91" s="318">
        <f t="shared" ca="1" si="39"/>
        <v>0</v>
      </c>
      <c r="P91" s="320" t="str">
        <f t="shared" si="31"/>
        <v>SIM</v>
      </c>
      <c r="Q91" s="324" t="s">
        <v>174</v>
      </c>
    </row>
    <row r="92" spans="1:17" ht="15.75" hidden="1" customHeight="1" outlineLevel="2" x14ac:dyDescent="0.2">
      <c r="A92" s="318" t="s">
        <v>154</v>
      </c>
      <c r="B92" s="318" t="s">
        <v>67</v>
      </c>
      <c r="C92" s="321">
        <v>74794.039999999994</v>
      </c>
      <c r="D92" s="322">
        <v>73993.179999999993</v>
      </c>
      <c r="E92" s="320">
        <v>1.3270999999999999</v>
      </c>
      <c r="F92" s="319">
        <v>74500</v>
      </c>
      <c r="G92" s="320">
        <f t="shared" si="30"/>
        <v>6.8495501882742038E-3</v>
      </c>
      <c r="H92" s="318">
        <v>1</v>
      </c>
      <c r="I92" s="323">
        <v>4.1799999999999997E-2</v>
      </c>
      <c r="J92" s="324"/>
      <c r="K92" s="323">
        <f t="shared" si="36"/>
        <v>1.5198021917808217E-4</v>
      </c>
      <c r="L92" s="324">
        <f t="shared" si="37"/>
        <v>11.322526328767122</v>
      </c>
      <c r="M92" s="320">
        <f t="shared" si="38"/>
        <v>3.6358904109589038E-3</v>
      </c>
      <c r="N92" s="325">
        <v>46128</v>
      </c>
      <c r="O92" s="318">
        <f t="shared" ca="1" si="39"/>
        <v>0</v>
      </c>
      <c r="P92" s="320" t="str">
        <f t="shared" si="31"/>
        <v>SIM</v>
      </c>
      <c r="Q92" s="324" t="s">
        <v>174</v>
      </c>
    </row>
    <row r="93" spans="1:17" ht="15.75" hidden="1" customHeight="1" outlineLevel="2" x14ac:dyDescent="0.2">
      <c r="A93" s="275" t="s">
        <v>161</v>
      </c>
      <c r="B93" s="275" t="s">
        <v>67</v>
      </c>
      <c r="C93" s="273">
        <v>2366.21</v>
      </c>
      <c r="D93" s="273">
        <v>2320.4</v>
      </c>
      <c r="E93" s="274">
        <v>0.55820000000000003</v>
      </c>
      <c r="F93" s="282">
        <v>2400</v>
      </c>
      <c r="G93" s="274">
        <f t="shared" si="30"/>
        <v>3.4304430270642949E-2</v>
      </c>
      <c r="H93" s="275">
        <v>1</v>
      </c>
      <c r="I93" s="276">
        <v>1.3107</v>
      </c>
      <c r="J93" s="283"/>
      <c r="K93" s="276">
        <f t="shared" si="36"/>
        <v>2.0044732602739726E-3</v>
      </c>
      <c r="L93" s="283">
        <f t="shared" si="37"/>
        <v>4.8107358246575345</v>
      </c>
      <c r="M93" s="274">
        <f t="shared" si="38"/>
        <v>1.5293150684931507E-3</v>
      </c>
      <c r="N93" s="285">
        <v>46128</v>
      </c>
      <c r="O93" s="275">
        <f t="shared" ca="1" si="39"/>
        <v>0</v>
      </c>
      <c r="P93" s="274" t="str">
        <f t="shared" si="31"/>
        <v>NÃO</v>
      </c>
      <c r="Q93" s="283" t="s">
        <v>174</v>
      </c>
    </row>
    <row r="94" spans="1:17" ht="15.75" hidden="1" customHeight="1" outlineLevel="2" x14ac:dyDescent="0.2">
      <c r="A94" s="275" t="s">
        <v>154</v>
      </c>
      <c r="B94" s="275" t="s">
        <v>50</v>
      </c>
      <c r="C94" s="273">
        <v>74473.210000000006</v>
      </c>
      <c r="D94" s="273">
        <v>74494.899999999994</v>
      </c>
      <c r="E94" s="274">
        <v>1.3871</v>
      </c>
      <c r="F94" s="282">
        <v>74000</v>
      </c>
      <c r="G94" s="274">
        <f t="shared" si="30"/>
        <v>6.6434078037556155E-3</v>
      </c>
      <c r="H94" s="275">
        <v>1</v>
      </c>
      <c r="I94" s="276"/>
      <c r="J94" s="283">
        <v>3125.3</v>
      </c>
      <c r="K94" s="276">
        <f t="shared" si="36"/>
        <v>1.6049994927804518E-4</v>
      </c>
      <c r="L94" s="283">
        <f t="shared" si="37"/>
        <v>11.876996246575343</v>
      </c>
      <c r="M94" s="274">
        <f t="shared" si="38"/>
        <v>3.8002739726027399E-3</v>
      </c>
      <c r="N94" s="285">
        <v>46129</v>
      </c>
      <c r="O94" s="275">
        <f t="shared" ca="1" si="39"/>
        <v>0</v>
      </c>
      <c r="P94" s="274" t="str">
        <f t="shared" si="31"/>
        <v>NÃO</v>
      </c>
      <c r="Q94" s="283" t="s">
        <v>174</v>
      </c>
    </row>
    <row r="95" spans="1:17" ht="15.75" hidden="1" customHeight="1" outlineLevel="2" x14ac:dyDescent="0.2">
      <c r="A95" s="275" t="s">
        <v>161</v>
      </c>
      <c r="B95" s="275" t="s">
        <v>67</v>
      </c>
      <c r="C95" s="273">
        <v>2335.5300000000002</v>
      </c>
      <c r="D95" s="273">
        <v>2336.0700000000002</v>
      </c>
      <c r="E95" s="274">
        <v>0.86250000000000004</v>
      </c>
      <c r="F95" s="282">
        <v>2400</v>
      </c>
      <c r="G95" s="274">
        <f t="shared" si="30"/>
        <v>2.7366474463521997E-2</v>
      </c>
      <c r="H95" s="275">
        <v>1</v>
      </c>
      <c r="I95" s="276">
        <v>1.3127</v>
      </c>
      <c r="J95" s="283"/>
      <c r="K95" s="276">
        <f t="shared" si="36"/>
        <v>3.1019280821917806E-3</v>
      </c>
      <c r="L95" s="283">
        <f t="shared" si="37"/>
        <v>7.4446273972602732</v>
      </c>
      <c r="M95" s="274">
        <f t="shared" si="38"/>
        <v>2.363013698630137E-3</v>
      </c>
      <c r="N95" s="285">
        <v>46129</v>
      </c>
      <c r="O95" s="275">
        <f t="shared" ca="1" si="39"/>
        <v>0</v>
      </c>
      <c r="P95" s="274" t="str">
        <f t="shared" si="31"/>
        <v>NÃO</v>
      </c>
      <c r="Q95" s="283" t="s">
        <v>174</v>
      </c>
    </row>
    <row r="96" spans="1:17" ht="15.75" hidden="1" customHeight="1" outlineLevel="1" collapsed="1" x14ac:dyDescent="0.2">
      <c r="A96" s="318" t="s">
        <v>154</v>
      </c>
      <c r="B96" s="318" t="s">
        <v>50</v>
      </c>
      <c r="C96" s="322">
        <v>74920.570000000007</v>
      </c>
      <c r="D96" s="322">
        <v>75707.06</v>
      </c>
      <c r="E96" s="320">
        <v>0.996</v>
      </c>
      <c r="F96" s="319">
        <v>75500</v>
      </c>
      <c r="G96" s="320">
        <f t="shared" ref="G96:G113" si="40">IF(A96&lt;&gt;"",IF(D96&gt;0,ABS(D96-F96)/D96,0),"")</f>
        <v>2.7350157303691054E-3</v>
      </c>
      <c r="H96" s="318">
        <v>3</v>
      </c>
      <c r="I96" s="323"/>
      <c r="J96" s="324">
        <v>3137.2</v>
      </c>
      <c r="K96" s="323">
        <f t="shared" ref="K96:K113" si="41">IF(AND(I96&gt;0,J96&gt;0),"ERRO",IF(I96&gt;0,(E96/365)*H96*I96,IF(J96&gt;0,((E96/365)*H96*J96)/F96,"")))</f>
        <v>3.4015979678853303E-4</v>
      </c>
      <c r="L96" s="324">
        <f t="shared" ref="L96:L113" si="42">IF(C96&gt;0,IF(AND(I96&gt;0,J96&gt;0),"ERRO",IF(J96&gt;0,(E96/365)*H96*J96,IF(K96&gt;0,K96*F96,""))),"")</f>
        <v>25.682064657534244</v>
      </c>
      <c r="M96" s="320">
        <f t="shared" ref="M96:M113" si="43">IF(AND(I96&gt;0,J96&gt;0),"ERRO",IF(J96&gt;0,L96/J96,IF(I96&gt;0,K96/I96,"")))</f>
        <v>8.1863013698630135E-3</v>
      </c>
      <c r="N96" s="325">
        <v>46132</v>
      </c>
      <c r="O96" s="318">
        <f t="shared" ref="O96:O113" ca="1" si="44">IF(N96&lt;&gt;"",IF(N96-TODAY()&lt;1,0,N96-TODAY()),"")</f>
        <v>0</v>
      </c>
      <c r="P96" s="320" t="str">
        <f t="shared" ref="P96:P113" si="45">IF(A96&lt;&gt;"",IF(B96="CALL",(IF(C96&gt;=F96,"SIM","NÃO")),IF(B96="PUT",(IF(C96&lt;F96,"SIM","NÃO")),"FECHADO")),"")</f>
        <v>SIM</v>
      </c>
      <c r="Q96" s="324" t="s">
        <v>174</v>
      </c>
    </row>
    <row r="97" spans="1:17" ht="15.75" hidden="1" customHeight="1" outlineLevel="1" x14ac:dyDescent="0.2">
      <c r="A97" s="275" t="s">
        <v>161</v>
      </c>
      <c r="B97" s="275" t="s">
        <v>67</v>
      </c>
      <c r="C97" s="273">
        <v>2299.0700000000002</v>
      </c>
      <c r="D97" s="273">
        <v>2357.39</v>
      </c>
      <c r="E97" s="274">
        <v>0.79720000000000002</v>
      </c>
      <c r="F97" s="282">
        <v>2400</v>
      </c>
      <c r="G97" s="274">
        <f t="shared" si="40"/>
        <v>1.807507455278937E-2</v>
      </c>
      <c r="H97" s="275">
        <v>3</v>
      </c>
      <c r="I97" s="276">
        <v>1.3157000000000001</v>
      </c>
      <c r="J97" s="283"/>
      <c r="K97" s="276">
        <f t="shared" si="41"/>
        <v>8.6208989589041107E-3</v>
      </c>
      <c r="L97" s="283">
        <f t="shared" si="42"/>
        <v>20.690157501369868</v>
      </c>
      <c r="M97" s="274">
        <f t="shared" si="43"/>
        <v>6.5523287671232881E-3</v>
      </c>
      <c r="N97" s="285">
        <v>46132</v>
      </c>
      <c r="O97" s="275">
        <f t="shared" ca="1" si="44"/>
        <v>0</v>
      </c>
      <c r="P97" s="274" t="str">
        <f t="shared" si="45"/>
        <v>NÃO</v>
      </c>
      <c r="Q97" s="283" t="s">
        <v>174</v>
      </c>
    </row>
    <row r="98" spans="1:17" ht="15.75" hidden="1" customHeight="1" outlineLevel="1" x14ac:dyDescent="0.2">
      <c r="A98" s="275" t="s">
        <v>154</v>
      </c>
      <c r="B98" s="275" t="s">
        <v>67</v>
      </c>
      <c r="C98" s="273">
        <v>74917.899999999994</v>
      </c>
      <c r="D98" s="273">
        <v>74917.899999999994</v>
      </c>
      <c r="E98" s="274">
        <v>5.8030999999999997</v>
      </c>
      <c r="F98" s="282">
        <v>75363.199999999997</v>
      </c>
      <c r="G98" s="274">
        <f t="shared" si="40"/>
        <v>5.943839856696503E-3</v>
      </c>
      <c r="H98" s="275">
        <v>1</v>
      </c>
      <c r="I98" s="276">
        <v>2.8943000000000003E-4</v>
      </c>
      <c r="J98" s="283">
        <v>0</v>
      </c>
      <c r="K98" s="276">
        <f t="shared" si="41"/>
        <v>4.6016198164383565E-6</v>
      </c>
      <c r="L98" s="283">
        <f t="shared" si="42"/>
        <v>0.34679279455020712</v>
      </c>
      <c r="M98" s="274">
        <f t="shared" si="43"/>
        <v>1.5898904109589041E-2</v>
      </c>
      <c r="N98" s="285">
        <v>46132</v>
      </c>
      <c r="O98" s="275">
        <f t="shared" ca="1" si="44"/>
        <v>0</v>
      </c>
      <c r="P98" s="274" t="str">
        <f t="shared" si="45"/>
        <v>NÃO</v>
      </c>
      <c r="Q98" s="317" t="s">
        <v>175</v>
      </c>
    </row>
    <row r="99" spans="1:17" ht="15.75" hidden="1" customHeight="1" outlineLevel="1" x14ac:dyDescent="0.2">
      <c r="A99" s="318" t="s">
        <v>154</v>
      </c>
      <c r="B99" s="318" t="s">
        <v>50</v>
      </c>
      <c r="C99" s="322">
        <v>75156.87</v>
      </c>
      <c r="D99" s="322">
        <v>75156.87</v>
      </c>
      <c r="E99" s="320">
        <v>4.1327999999999996</v>
      </c>
      <c r="F99" s="319">
        <v>76210.600000000006</v>
      </c>
      <c r="G99" s="320">
        <f t="shared" si="40"/>
        <v>1.4020408247443121E-2</v>
      </c>
      <c r="H99" s="318">
        <v>1</v>
      </c>
      <c r="I99" s="323"/>
      <c r="J99" s="324">
        <v>21.97</v>
      </c>
      <c r="K99" s="323">
        <f t="shared" si="41"/>
        <v>3.2641206312615551E-6</v>
      </c>
      <c r="L99" s="324">
        <f t="shared" si="42"/>
        <v>0.24876059178082188</v>
      </c>
      <c r="M99" s="320">
        <f t="shared" si="43"/>
        <v>1.1322739726027396E-2</v>
      </c>
      <c r="N99" s="325">
        <v>46132</v>
      </c>
      <c r="O99" s="318">
        <f t="shared" ca="1" si="44"/>
        <v>0</v>
      </c>
      <c r="P99" s="320" t="str">
        <f t="shared" si="45"/>
        <v>SIM</v>
      </c>
      <c r="Q99" s="326" t="s">
        <v>175</v>
      </c>
    </row>
    <row r="100" spans="1:17" ht="15.75" hidden="1" customHeight="1" outlineLevel="1" x14ac:dyDescent="0.2">
      <c r="A100" s="275" t="s">
        <v>161</v>
      </c>
      <c r="B100" s="275" t="s">
        <v>50</v>
      </c>
      <c r="C100" s="273">
        <v>2404.8000000000002</v>
      </c>
      <c r="D100" s="273">
        <v>2404.8000000000002</v>
      </c>
      <c r="E100" s="274">
        <v>4.5225999999999997</v>
      </c>
      <c r="F100" s="282">
        <v>2337.39</v>
      </c>
      <c r="G100" s="274">
        <f t="shared" si="40"/>
        <v>2.803143712574863E-2</v>
      </c>
      <c r="H100" s="275">
        <v>1</v>
      </c>
      <c r="I100" s="276"/>
      <c r="J100" s="283">
        <v>21.7</v>
      </c>
      <c r="K100" s="276">
        <f t="shared" si="41"/>
        <v>1.1503337612195595E-4</v>
      </c>
      <c r="L100" s="283">
        <f t="shared" si="42"/>
        <v>0.26887786301369859</v>
      </c>
      <c r="M100" s="274">
        <f t="shared" si="43"/>
        <v>1.2390684931506848E-2</v>
      </c>
      <c r="N100" s="285">
        <v>46132</v>
      </c>
      <c r="O100" s="275">
        <f t="shared" ca="1" si="44"/>
        <v>0</v>
      </c>
      <c r="P100" s="274" t="str">
        <f t="shared" si="45"/>
        <v>NÃO</v>
      </c>
      <c r="Q100" s="317" t="s">
        <v>175</v>
      </c>
    </row>
    <row r="101" spans="1:17" ht="15.75" hidden="1" customHeight="1" outlineLevel="1" x14ac:dyDescent="0.2">
      <c r="A101" s="318" t="s">
        <v>154</v>
      </c>
      <c r="B101" s="318" t="s">
        <v>67</v>
      </c>
      <c r="C101" s="322">
        <v>78280</v>
      </c>
      <c r="D101" s="322">
        <v>75096.55</v>
      </c>
      <c r="E101" s="320">
        <v>3.2370000000000001</v>
      </c>
      <c r="F101" s="319">
        <v>75132.899999999994</v>
      </c>
      <c r="G101" s="320">
        <f t="shared" si="40"/>
        <v>4.8404354128107441E-4</v>
      </c>
      <c r="H101" s="318">
        <v>2</v>
      </c>
      <c r="I101" s="323">
        <v>2.9095999999999999E-4</v>
      </c>
      <c r="J101" s="324"/>
      <c r="K101" s="323">
        <f t="shared" si="41"/>
        <v>5.1607535342465755E-6</v>
      </c>
      <c r="L101" s="324">
        <f t="shared" si="42"/>
        <v>0.38774237921319449</v>
      </c>
      <c r="M101" s="320">
        <f t="shared" si="43"/>
        <v>1.7736986301369863E-2</v>
      </c>
      <c r="N101" s="325">
        <v>46134</v>
      </c>
      <c r="O101" s="318">
        <f t="shared" ca="1" si="44"/>
        <v>0</v>
      </c>
      <c r="P101" s="320" t="str">
        <f t="shared" si="45"/>
        <v>SIM</v>
      </c>
      <c r="Q101" s="326" t="s">
        <v>175</v>
      </c>
    </row>
    <row r="102" spans="1:17" ht="15.75" hidden="1" customHeight="1" outlineLevel="1" x14ac:dyDescent="0.2">
      <c r="A102" s="318" t="s">
        <v>154</v>
      </c>
      <c r="B102" s="318" t="s">
        <v>67</v>
      </c>
      <c r="C102" s="322">
        <v>76335.429999999993</v>
      </c>
      <c r="D102" s="322">
        <v>74972</v>
      </c>
      <c r="E102" s="320">
        <v>1.4630000000000001</v>
      </c>
      <c r="F102" s="319">
        <v>75500</v>
      </c>
      <c r="G102" s="320">
        <f t="shared" si="40"/>
        <v>7.0426292482526813E-3</v>
      </c>
      <c r="H102" s="318">
        <v>1</v>
      </c>
      <c r="I102" s="323">
        <v>4.19E-2</v>
      </c>
      <c r="J102" s="324"/>
      <c r="K102" s="323">
        <f t="shared" si="41"/>
        <v>1.6794438356164382E-4</v>
      </c>
      <c r="L102" s="324">
        <f t="shared" si="42"/>
        <v>12.679800958904108</v>
      </c>
      <c r="M102" s="320">
        <f t="shared" si="43"/>
        <v>4.0082191780821917E-3</v>
      </c>
      <c r="N102" s="325">
        <v>46133</v>
      </c>
      <c r="O102" s="318">
        <f t="shared" ca="1" si="44"/>
        <v>0</v>
      </c>
      <c r="P102" s="320" t="str">
        <f t="shared" si="45"/>
        <v>SIM</v>
      </c>
      <c r="Q102" s="324" t="s">
        <v>174</v>
      </c>
    </row>
    <row r="103" spans="1:17" ht="15.75" hidden="1" customHeight="1" outlineLevel="1" x14ac:dyDescent="0.2">
      <c r="A103" s="275" t="s">
        <v>161</v>
      </c>
      <c r="B103" s="275" t="s">
        <v>67</v>
      </c>
      <c r="C103" s="273">
        <v>2320.6999999999998</v>
      </c>
      <c r="D103" s="273">
        <v>2303.86</v>
      </c>
      <c r="E103" s="274">
        <v>0.67549999999999999</v>
      </c>
      <c r="F103" s="282">
        <v>2375</v>
      </c>
      <c r="G103" s="274">
        <f t="shared" si="40"/>
        <v>3.0878612415684924E-2</v>
      </c>
      <c r="H103" s="275">
        <v>1</v>
      </c>
      <c r="I103" s="276">
        <v>1.7506999999999999</v>
      </c>
      <c r="J103" s="283"/>
      <c r="K103" s="276">
        <f t="shared" si="41"/>
        <v>3.2399941095890409E-3</v>
      </c>
      <c r="L103" s="283">
        <f t="shared" si="42"/>
        <v>7.694986010273972</v>
      </c>
      <c r="M103" s="274">
        <f t="shared" si="43"/>
        <v>1.8506849315068493E-3</v>
      </c>
      <c r="N103" s="285">
        <v>46133</v>
      </c>
      <c r="O103" s="275">
        <f t="shared" ca="1" si="44"/>
        <v>0</v>
      </c>
      <c r="P103" s="274" t="str">
        <f t="shared" si="45"/>
        <v>NÃO</v>
      </c>
      <c r="Q103" s="283" t="s">
        <v>174</v>
      </c>
    </row>
    <row r="104" spans="1:17" ht="15.75" hidden="1" customHeight="1" outlineLevel="1" x14ac:dyDescent="0.2">
      <c r="A104" s="275" t="s">
        <v>154</v>
      </c>
      <c r="B104" s="275" t="s">
        <v>50</v>
      </c>
      <c r="C104" s="273">
        <v>78085.53</v>
      </c>
      <c r="D104" s="273">
        <v>78340.149999999994</v>
      </c>
      <c r="E104" s="274">
        <v>1.3931</v>
      </c>
      <c r="F104" s="282">
        <v>78000</v>
      </c>
      <c r="G104" s="274">
        <f t="shared" si="40"/>
        <v>4.3419625824049892E-3</v>
      </c>
      <c r="H104" s="275">
        <v>1</v>
      </c>
      <c r="I104" s="276"/>
      <c r="J104" s="283">
        <v>3176.1</v>
      </c>
      <c r="K104" s="276">
        <f t="shared" si="41"/>
        <v>1.5541359009483668E-4</v>
      </c>
      <c r="L104" s="283">
        <f t="shared" si="42"/>
        <v>12.12226002739726</v>
      </c>
      <c r="M104" s="274">
        <f t="shared" si="43"/>
        <v>3.8167123287671232E-3</v>
      </c>
      <c r="N104" s="285">
        <v>46135</v>
      </c>
      <c r="O104" s="275">
        <f t="shared" ca="1" si="44"/>
        <v>0</v>
      </c>
      <c r="P104" s="274" t="str">
        <f t="shared" si="45"/>
        <v>NÃO</v>
      </c>
      <c r="Q104" s="283" t="s">
        <v>174</v>
      </c>
    </row>
    <row r="105" spans="1:17" ht="15.75" hidden="1" customHeight="1" outlineLevel="1" x14ac:dyDescent="0.2">
      <c r="A105" s="275" t="s">
        <v>161</v>
      </c>
      <c r="B105" s="275" t="s">
        <v>67</v>
      </c>
      <c r="C105" s="273">
        <v>2401.6799999999998</v>
      </c>
      <c r="D105" s="273">
        <v>2398.16</v>
      </c>
      <c r="E105" s="274">
        <v>1.7808999999999999</v>
      </c>
      <c r="F105" s="282">
        <v>2425</v>
      </c>
      <c r="G105" s="274">
        <f t="shared" si="40"/>
        <v>1.1191913800580506E-2</v>
      </c>
      <c r="H105" s="275">
        <v>1</v>
      </c>
      <c r="I105" s="276">
        <v>1.7538</v>
      </c>
      <c r="J105" s="283"/>
      <c r="K105" s="276">
        <f t="shared" si="41"/>
        <v>8.5571025205479455E-3</v>
      </c>
      <c r="L105" s="283">
        <f t="shared" si="42"/>
        <v>20.750973612328767</v>
      </c>
      <c r="M105" s="274">
        <f t="shared" si="43"/>
        <v>4.8791780821917808E-3</v>
      </c>
      <c r="N105" s="285">
        <v>46135</v>
      </c>
      <c r="O105" s="275">
        <f t="shared" ca="1" si="44"/>
        <v>0</v>
      </c>
      <c r="P105" s="274" t="str">
        <f t="shared" si="45"/>
        <v>NÃO</v>
      </c>
      <c r="Q105" s="283" t="s">
        <v>174</v>
      </c>
    </row>
    <row r="106" spans="1:17" ht="15.75" hidden="1" customHeight="1" outlineLevel="1" x14ac:dyDescent="0.2">
      <c r="A106" s="318" t="s">
        <v>161</v>
      </c>
      <c r="B106" s="318" t="s">
        <v>50</v>
      </c>
      <c r="C106" s="322">
        <v>2349.13</v>
      </c>
      <c r="D106" s="322">
        <v>2400.9</v>
      </c>
      <c r="E106" s="320">
        <v>8.2689000000000004</v>
      </c>
      <c r="F106" s="319">
        <v>2400.58</v>
      </c>
      <c r="G106" s="320">
        <f t="shared" si="40"/>
        <v>1.332833520763729E-4</v>
      </c>
      <c r="H106" s="318">
        <v>1</v>
      </c>
      <c r="I106" s="323"/>
      <c r="J106" s="324">
        <v>22.05</v>
      </c>
      <c r="K106" s="323">
        <f t="shared" si="41"/>
        <v>2.0808811957201672E-4</v>
      </c>
      <c r="L106" s="324">
        <f t="shared" si="42"/>
        <v>0.49953217808219186</v>
      </c>
      <c r="M106" s="320">
        <f t="shared" si="43"/>
        <v>2.2654520547945207E-2</v>
      </c>
      <c r="N106" s="325">
        <v>46135</v>
      </c>
      <c r="O106" s="318">
        <f t="shared" ca="1" si="44"/>
        <v>0</v>
      </c>
      <c r="P106" s="320" t="str">
        <f t="shared" si="45"/>
        <v>SIM</v>
      </c>
      <c r="Q106" s="324" t="s">
        <v>175</v>
      </c>
    </row>
    <row r="107" spans="1:17" ht="15.75" hidden="1" customHeight="1" outlineLevel="1" x14ac:dyDescent="0.2">
      <c r="A107" s="275" t="s">
        <v>154</v>
      </c>
      <c r="B107" s="275" t="s">
        <v>50</v>
      </c>
      <c r="C107" s="273">
        <v>78107.61</v>
      </c>
      <c r="D107" s="273">
        <v>77622.009999999995</v>
      </c>
      <c r="E107" s="274">
        <v>1.7733000000000001</v>
      </c>
      <c r="F107" s="282">
        <v>77500</v>
      </c>
      <c r="G107" s="274">
        <f t="shared" si="40"/>
        <v>1.5718479848691727E-3</v>
      </c>
      <c r="H107" s="275">
        <v>1</v>
      </c>
      <c r="I107" s="276"/>
      <c r="J107" s="283">
        <v>3188.2</v>
      </c>
      <c r="K107" s="276">
        <f t="shared" si="41"/>
        <v>1.9986336933274412E-4</v>
      </c>
      <c r="L107" s="283">
        <f t="shared" si="42"/>
        <v>15.48941112328767</v>
      </c>
      <c r="M107" s="274">
        <f t="shared" si="43"/>
        <v>4.8583561643835618E-3</v>
      </c>
      <c r="N107" s="285">
        <v>46136</v>
      </c>
      <c r="O107" s="275">
        <f t="shared" ca="1" si="44"/>
        <v>0</v>
      </c>
      <c r="P107" s="274" t="str">
        <f t="shared" si="45"/>
        <v>NÃO</v>
      </c>
      <c r="Q107" s="283" t="s">
        <v>174</v>
      </c>
    </row>
    <row r="108" spans="1:17" ht="15.75" hidden="1" customHeight="1" outlineLevel="1" x14ac:dyDescent="0.2">
      <c r="A108" s="275" t="s">
        <v>161</v>
      </c>
      <c r="B108" s="275" t="s">
        <v>67</v>
      </c>
      <c r="C108" s="273">
        <v>2316.06</v>
      </c>
      <c r="D108" s="273">
        <v>2309.2399999999998</v>
      </c>
      <c r="E108" s="274">
        <v>0.59840000000000004</v>
      </c>
      <c r="F108" s="282">
        <v>2375</v>
      </c>
      <c r="G108" s="274">
        <f t="shared" si="40"/>
        <v>2.8476901491399864E-2</v>
      </c>
      <c r="H108" s="275">
        <v>1</v>
      </c>
      <c r="I108" s="276">
        <v>1.7622</v>
      </c>
      <c r="J108" s="283"/>
      <c r="K108" s="276">
        <f t="shared" si="41"/>
        <v>2.8890424109589046E-3</v>
      </c>
      <c r="L108" s="283">
        <f t="shared" si="42"/>
        <v>6.8614757260273986</v>
      </c>
      <c r="M108" s="274">
        <f t="shared" si="43"/>
        <v>1.6394520547945209E-3</v>
      </c>
      <c r="N108" s="285">
        <v>46136</v>
      </c>
      <c r="O108" s="275">
        <f t="shared" ca="1" si="44"/>
        <v>0</v>
      </c>
      <c r="P108" s="274" t="str">
        <f t="shared" si="45"/>
        <v>NÃO</v>
      </c>
      <c r="Q108" s="283" t="s">
        <v>174</v>
      </c>
    </row>
    <row r="109" spans="1:17" ht="15.75" hidden="1" customHeight="1" outlineLevel="1" x14ac:dyDescent="0.2">
      <c r="A109" s="275" t="s">
        <v>161</v>
      </c>
      <c r="B109" s="275" t="s">
        <v>67</v>
      </c>
      <c r="C109" s="273">
        <v>2316.06</v>
      </c>
      <c r="D109" s="273">
        <v>2309.5100000000002</v>
      </c>
      <c r="E109" s="274">
        <v>0.83</v>
      </c>
      <c r="F109" s="282">
        <v>2400.58</v>
      </c>
      <c r="G109" s="274">
        <f t="shared" si="40"/>
        <v>3.9432606916618547E-2</v>
      </c>
      <c r="H109" s="275">
        <v>1</v>
      </c>
      <c r="I109" s="276">
        <v>9.2565300000000007E-3</v>
      </c>
      <c r="J109" s="283"/>
      <c r="K109" s="276">
        <f t="shared" si="41"/>
        <v>2.1049095616438356E-5</v>
      </c>
      <c r="L109" s="283">
        <f t="shared" si="42"/>
        <v>5.0530037954909589E-2</v>
      </c>
      <c r="M109" s="274">
        <f t="shared" si="43"/>
        <v>2.2739726027397257E-3</v>
      </c>
      <c r="N109" s="285">
        <v>46136</v>
      </c>
      <c r="O109" s="275">
        <f t="shared" ca="1" si="44"/>
        <v>0</v>
      </c>
      <c r="P109" s="274" t="str">
        <f t="shared" si="45"/>
        <v>NÃO</v>
      </c>
      <c r="Q109" s="283" t="s">
        <v>175</v>
      </c>
    </row>
    <row r="110" spans="1:17" ht="15.75" hidden="1" customHeight="1" outlineLevel="1" x14ac:dyDescent="0.2">
      <c r="A110" s="318" t="s">
        <v>161</v>
      </c>
      <c r="B110" s="318" t="s">
        <v>50</v>
      </c>
      <c r="C110" s="322">
        <v>2312.94</v>
      </c>
      <c r="D110" s="322">
        <v>2309.5100000000002</v>
      </c>
      <c r="E110" s="320">
        <v>8.0082000000000004</v>
      </c>
      <c r="F110" s="319">
        <v>2330.7399999999998</v>
      </c>
      <c r="G110" s="320">
        <f t="shared" si="40"/>
        <v>9.1924260990424635E-3</v>
      </c>
      <c r="H110" s="318">
        <v>1</v>
      </c>
      <c r="I110" s="323"/>
      <c r="J110" s="324">
        <v>118.44</v>
      </c>
      <c r="K110" s="323">
        <f t="shared" si="41"/>
        <v>1.1149274690935363E-3</v>
      </c>
      <c r="L110" s="324">
        <f t="shared" si="42"/>
        <v>2.5986060493150687</v>
      </c>
      <c r="M110" s="320">
        <f t="shared" si="43"/>
        <v>2.1940273972602741E-2</v>
      </c>
      <c r="N110" s="325">
        <v>46136</v>
      </c>
      <c r="O110" s="318">
        <f t="shared" ca="1" si="44"/>
        <v>0</v>
      </c>
      <c r="P110" s="320" t="str">
        <f t="shared" si="45"/>
        <v>SIM</v>
      </c>
      <c r="Q110" s="324" t="s">
        <v>175</v>
      </c>
    </row>
    <row r="111" spans="1:17" ht="15.75" hidden="1" customHeight="1" outlineLevel="1" x14ac:dyDescent="0.2">
      <c r="A111" s="275" t="s">
        <v>154</v>
      </c>
      <c r="B111" s="275" t="s">
        <v>50</v>
      </c>
      <c r="C111" s="273">
        <v>78036.600000000006</v>
      </c>
      <c r="D111" s="273">
        <v>77488.800000000003</v>
      </c>
      <c r="E111" s="274">
        <v>0.70230000000000004</v>
      </c>
      <c r="F111" s="282">
        <v>77000</v>
      </c>
      <c r="G111" s="274">
        <f t="shared" si="40"/>
        <v>6.3080083831470214E-3</v>
      </c>
      <c r="H111" s="275">
        <v>3</v>
      </c>
      <c r="I111" s="276"/>
      <c r="J111" s="283">
        <v>3203.5</v>
      </c>
      <c r="K111" s="276">
        <f t="shared" si="41"/>
        <v>2.4015136630492796E-4</v>
      </c>
      <c r="L111" s="283">
        <f t="shared" si="42"/>
        <v>18.491655205479454</v>
      </c>
      <c r="M111" s="274">
        <f t="shared" si="43"/>
        <v>5.7723287671232878E-3</v>
      </c>
      <c r="N111" s="285">
        <v>46139</v>
      </c>
      <c r="O111" s="275">
        <f t="shared" ca="1" si="44"/>
        <v>0</v>
      </c>
      <c r="P111" s="274" t="str">
        <f t="shared" si="45"/>
        <v>NÃO</v>
      </c>
      <c r="Q111" s="283" t="s">
        <v>174</v>
      </c>
    </row>
    <row r="112" spans="1:17" ht="15.75" hidden="1" customHeight="1" outlineLevel="1" x14ac:dyDescent="0.2">
      <c r="A112" s="275" t="s">
        <v>161</v>
      </c>
      <c r="B112" s="275" t="s">
        <v>67</v>
      </c>
      <c r="C112" s="273">
        <v>2323.12</v>
      </c>
      <c r="D112" s="273">
        <v>2307.8000000000002</v>
      </c>
      <c r="E112" s="274">
        <v>0.2505</v>
      </c>
      <c r="F112" s="282">
        <v>2400</v>
      </c>
      <c r="G112" s="274">
        <f t="shared" si="40"/>
        <v>3.9951468931449782E-2</v>
      </c>
      <c r="H112" s="275">
        <v>3</v>
      </c>
      <c r="I112" s="276">
        <v>1.7649999999999999</v>
      </c>
      <c r="J112" s="283"/>
      <c r="K112" s="276">
        <f t="shared" si="41"/>
        <v>3.6339657534246576E-3</v>
      </c>
      <c r="L112" s="283">
        <f t="shared" si="42"/>
        <v>8.7215178082191773</v>
      </c>
      <c r="M112" s="274">
        <f t="shared" si="43"/>
        <v>2.0589041095890413E-3</v>
      </c>
      <c r="N112" s="285">
        <v>46139</v>
      </c>
      <c r="O112" s="275">
        <f t="shared" ca="1" si="44"/>
        <v>0</v>
      </c>
      <c r="P112" s="274" t="str">
        <f t="shared" si="45"/>
        <v>NÃO</v>
      </c>
      <c r="Q112" s="283" t="s">
        <v>174</v>
      </c>
    </row>
    <row r="113" spans="1:17" ht="15.75" hidden="1" customHeight="1" outlineLevel="1" x14ac:dyDescent="0.2">
      <c r="A113" s="275" t="s">
        <v>161</v>
      </c>
      <c r="B113" s="275" t="s">
        <v>67</v>
      </c>
      <c r="C113" s="273">
        <v>2283.91</v>
      </c>
      <c r="D113" s="273">
        <v>2309.36</v>
      </c>
      <c r="E113" s="274">
        <v>0.94030000000000002</v>
      </c>
      <c r="F113" s="273">
        <v>2350</v>
      </c>
      <c r="G113" s="274">
        <f t="shared" si="40"/>
        <v>1.7597949215366972E-2</v>
      </c>
      <c r="H113" s="275">
        <v>3</v>
      </c>
      <c r="I113" s="276">
        <v>6.0485610000000002E-2</v>
      </c>
      <c r="J113" s="283"/>
      <c r="K113" s="276">
        <f t="shared" si="41"/>
        <v>4.6746262260000002E-4</v>
      </c>
      <c r="L113" s="283">
        <f t="shared" si="42"/>
        <v>1.09853716311</v>
      </c>
      <c r="M113" s="274">
        <f t="shared" si="43"/>
        <v>7.7284931506849319E-3</v>
      </c>
      <c r="N113" s="285">
        <v>46140</v>
      </c>
      <c r="O113" s="275">
        <f t="shared" ca="1" si="44"/>
        <v>0</v>
      </c>
      <c r="P113" s="274" t="str">
        <f t="shared" si="45"/>
        <v>NÃO</v>
      </c>
      <c r="Q113" s="283" t="s">
        <v>175</v>
      </c>
    </row>
    <row r="114" spans="1:17" ht="15.75" hidden="1" customHeight="1" outlineLevel="1" x14ac:dyDescent="0.2">
      <c r="A114" s="318" t="s">
        <v>154</v>
      </c>
      <c r="B114" s="318" t="s">
        <v>50</v>
      </c>
      <c r="C114" s="322">
        <v>76693.87</v>
      </c>
      <c r="D114" s="322">
        <v>77813.279999999999</v>
      </c>
      <c r="E114" s="320">
        <v>1.1789000000000001</v>
      </c>
      <c r="F114" s="319">
        <v>77500</v>
      </c>
      <c r="G114" s="320">
        <f t="shared" ref="G114:G122" si="46">IF(A114&lt;&gt;"",IF(D114&gt;0,ABS(D114-F114)/D114,0),"")</f>
        <v>4.0260479959204759E-3</v>
      </c>
      <c r="H114" s="318">
        <v>1</v>
      </c>
      <c r="I114" s="323"/>
      <c r="J114" s="324">
        <v>3221.8</v>
      </c>
      <c r="K114" s="323">
        <f t="shared" ref="K114:K122" si="47">IF(AND(I114&gt;0,J114&gt;0),"ERRO",IF(I114&gt;0,(E114/365)*H114*I114,IF(J114&gt;0,((E114/365)*H114*J114)/F114,"")))</f>
        <v>1.3427061493592578E-4</v>
      </c>
      <c r="L114" s="324">
        <f t="shared" ref="L114:L122" si="48">IF(C114&gt;0,IF(AND(I114&gt;0,J114&gt;0),"ERRO",IF(J114&gt;0,(E114/365)*H114*J114,IF(K114&gt;0,K114*F114,""))),"")</f>
        <v>10.405972657534248</v>
      </c>
      <c r="M114" s="320">
        <f t="shared" ref="M114:M122" si="49">IF(AND(I114&gt;0,J114&gt;0),"ERRO",IF(J114&gt;0,L114/J114,IF(I114&gt;0,K114/I114,"")))</f>
        <v>3.2298630136986303E-3</v>
      </c>
      <c r="N114" s="325">
        <v>46140</v>
      </c>
      <c r="O114" s="318">
        <f t="shared" ref="O114:O122" ca="1" si="50">IF(N114&lt;&gt;"",IF(N114-TODAY()&lt;1,0,N114-TODAY()),"")</f>
        <v>0</v>
      </c>
      <c r="P114" s="320" t="str">
        <f t="shared" ref="P114:P122" si="51">IF(A114&lt;&gt;"",IF(B114="CALL",(IF(C114&gt;=F114,"SIM","NÃO")),IF(B114="PUT",(IF(C114&lt;F114,"SIM","NÃO")),"FECHADO")),"")</f>
        <v>SIM</v>
      </c>
      <c r="Q114" s="324" t="s">
        <v>174</v>
      </c>
    </row>
    <row r="115" spans="1:17" ht="15.75" hidden="1" customHeight="1" outlineLevel="1" x14ac:dyDescent="0.2">
      <c r="A115" s="275" t="s">
        <v>161</v>
      </c>
      <c r="B115" s="275" t="s">
        <v>67</v>
      </c>
      <c r="C115" s="273">
        <v>2288.2800000000002</v>
      </c>
      <c r="D115" s="273">
        <v>2322.7199999999998</v>
      </c>
      <c r="E115" s="274">
        <v>1.1901999999999999</v>
      </c>
      <c r="F115" s="282">
        <v>2350</v>
      </c>
      <c r="G115" s="274">
        <f t="shared" si="46"/>
        <v>1.1744850864503772E-2</v>
      </c>
      <c r="H115" s="275">
        <v>2</v>
      </c>
      <c r="I115" s="276">
        <v>1.7685999999999999</v>
      </c>
      <c r="J115" s="283"/>
      <c r="K115" s="276">
        <f t="shared" si="47"/>
        <v>1.1534179287671231E-2</v>
      </c>
      <c r="L115" s="283">
        <f t="shared" si="48"/>
        <v>27.105321326027394</v>
      </c>
      <c r="M115" s="274">
        <f t="shared" si="49"/>
        <v>6.5216438356164377E-3</v>
      </c>
      <c r="N115" s="285">
        <v>46141</v>
      </c>
      <c r="O115" s="275">
        <f t="shared" ca="1" si="50"/>
        <v>0</v>
      </c>
      <c r="P115" s="274" t="str">
        <f t="shared" si="51"/>
        <v>NÃO</v>
      </c>
      <c r="Q115" s="283" t="s">
        <v>174</v>
      </c>
    </row>
    <row r="116" spans="1:17" ht="15.75" hidden="1" customHeight="1" outlineLevel="1" x14ac:dyDescent="0.2">
      <c r="A116" s="275" t="s">
        <v>154</v>
      </c>
      <c r="B116" s="275" t="s">
        <v>67</v>
      </c>
      <c r="C116" s="273">
        <v>76148.97</v>
      </c>
      <c r="D116" s="273">
        <v>76654.210000000006</v>
      </c>
      <c r="E116" s="274">
        <v>0.49440000000000001</v>
      </c>
      <c r="F116" s="282">
        <v>77500</v>
      </c>
      <c r="G116" s="274">
        <f t="shared" si="46"/>
        <v>1.1033836236783258E-2</v>
      </c>
      <c r="H116" s="275">
        <v>1</v>
      </c>
      <c r="I116" s="276">
        <v>4.1700000000000001E-2</v>
      </c>
      <c r="J116" s="283"/>
      <c r="K116" s="276">
        <f t="shared" si="47"/>
        <v>5.6483506849315076E-5</v>
      </c>
      <c r="L116" s="283">
        <f t="shared" si="48"/>
        <v>4.3774717808219181</v>
      </c>
      <c r="M116" s="274">
        <f t="shared" si="49"/>
        <v>1.3545205479452056E-3</v>
      </c>
      <c r="N116" s="285">
        <v>46141</v>
      </c>
      <c r="O116" s="275">
        <f t="shared" ca="1" si="50"/>
        <v>0</v>
      </c>
      <c r="P116" s="274" t="str">
        <f t="shared" si="51"/>
        <v>NÃO</v>
      </c>
      <c r="Q116" s="283" t="s">
        <v>174</v>
      </c>
    </row>
    <row r="117" spans="1:17" ht="15.75" hidden="1" customHeight="1" outlineLevel="1" x14ac:dyDescent="0.2">
      <c r="A117" s="275" t="s">
        <v>161</v>
      </c>
      <c r="B117" s="275" t="s">
        <v>67</v>
      </c>
      <c r="C117" s="273">
        <v>2260</v>
      </c>
      <c r="D117" s="273">
        <v>2322.7199999999998</v>
      </c>
      <c r="E117" s="274">
        <v>1.0176000000000001</v>
      </c>
      <c r="F117" s="282">
        <v>2350</v>
      </c>
      <c r="G117" s="274">
        <f t="shared" si="46"/>
        <v>1.1744850864503772E-2</v>
      </c>
      <c r="H117" s="275">
        <v>1</v>
      </c>
      <c r="I117" s="276">
        <v>6.0953100000000003E-2</v>
      </c>
      <c r="J117" s="283"/>
      <c r="K117" s="276">
        <f t="shared" si="47"/>
        <v>1.6993390290410959E-4</v>
      </c>
      <c r="L117" s="283">
        <f t="shared" si="48"/>
        <v>0.39934467182465755</v>
      </c>
      <c r="M117" s="274">
        <f t="shared" si="49"/>
        <v>2.787945205479452E-3</v>
      </c>
      <c r="N117" s="285">
        <v>46142</v>
      </c>
      <c r="O117" s="275">
        <f t="shared" ca="1" si="50"/>
        <v>0</v>
      </c>
      <c r="P117" s="274" t="str">
        <f t="shared" si="51"/>
        <v>NÃO</v>
      </c>
      <c r="Q117" s="283" t="s">
        <v>175</v>
      </c>
    </row>
    <row r="118" spans="1:17" ht="15.75" hidden="1" customHeight="1" outlineLevel="1" x14ac:dyDescent="0.2">
      <c r="A118" s="275" t="s">
        <v>161</v>
      </c>
      <c r="B118" s="275" t="s">
        <v>67</v>
      </c>
      <c r="C118" s="273">
        <v>2236.71</v>
      </c>
      <c r="D118" s="273">
        <v>2313.23</v>
      </c>
      <c r="E118" s="274">
        <v>1.0999000000000001</v>
      </c>
      <c r="F118" s="282">
        <v>2350</v>
      </c>
      <c r="G118" s="274">
        <f t="shared" si="46"/>
        <v>1.5895522710668623E-2</v>
      </c>
      <c r="H118" s="275">
        <v>1</v>
      </c>
      <c r="I118" s="276">
        <v>1.7801</v>
      </c>
      <c r="J118" s="283"/>
      <c r="K118" s="276">
        <f t="shared" si="47"/>
        <v>5.3641972328767129E-3</v>
      </c>
      <c r="L118" s="283">
        <f t="shared" si="48"/>
        <v>12.605863497260275</v>
      </c>
      <c r="M118" s="274">
        <f t="shared" si="49"/>
        <v>3.0134246575342469E-3</v>
      </c>
      <c r="N118" s="285">
        <v>46142</v>
      </c>
      <c r="O118" s="275">
        <f t="shared" ca="1" si="50"/>
        <v>0</v>
      </c>
      <c r="P118" s="274" t="str">
        <f t="shared" si="51"/>
        <v>NÃO</v>
      </c>
      <c r="Q118" s="283" t="s">
        <v>174</v>
      </c>
    </row>
    <row r="119" spans="1:17" ht="15.75" hidden="1" customHeight="1" outlineLevel="1" x14ac:dyDescent="0.2">
      <c r="A119" s="275" t="s">
        <v>154</v>
      </c>
      <c r="B119" s="275" t="s">
        <v>67</v>
      </c>
      <c r="C119" s="273">
        <v>75460.42</v>
      </c>
      <c r="D119" s="273">
        <v>77171.86</v>
      </c>
      <c r="E119" s="274">
        <v>0.67100000000000004</v>
      </c>
      <c r="F119" s="282">
        <v>78000</v>
      </c>
      <c r="G119" s="274">
        <f t="shared" si="46"/>
        <v>1.0731113646865572E-2</v>
      </c>
      <c r="H119" s="275">
        <v>1</v>
      </c>
      <c r="I119" s="276">
        <v>4.1799999999999997E-2</v>
      </c>
      <c r="J119" s="283"/>
      <c r="K119" s="276">
        <f t="shared" si="47"/>
        <v>7.6843287671232886E-5</v>
      </c>
      <c r="L119" s="283">
        <f t="shared" si="48"/>
        <v>5.9937764383561651</v>
      </c>
      <c r="M119" s="274">
        <f t="shared" si="49"/>
        <v>1.8383561643835621E-3</v>
      </c>
      <c r="N119" s="285">
        <v>46142</v>
      </c>
      <c r="O119" s="275">
        <f t="shared" ca="1" si="50"/>
        <v>0</v>
      </c>
      <c r="P119" s="274" t="str">
        <f t="shared" si="51"/>
        <v>NÃO</v>
      </c>
      <c r="Q119" s="283" t="s">
        <v>174</v>
      </c>
    </row>
    <row r="120" spans="1:17" ht="15.75" hidden="1" customHeight="1" outlineLevel="1" x14ac:dyDescent="0.2">
      <c r="A120" s="275" t="s">
        <v>154</v>
      </c>
      <c r="B120" s="275" t="s">
        <v>67</v>
      </c>
      <c r="C120" s="273">
        <v>76445.100000000006</v>
      </c>
      <c r="D120" s="273">
        <v>76053.08</v>
      </c>
      <c r="E120" s="274">
        <v>0.30709999999999998</v>
      </c>
      <c r="F120" s="282">
        <v>77500</v>
      </c>
      <c r="G120" s="274">
        <f t="shared" si="46"/>
        <v>1.9025133498866819E-2</v>
      </c>
      <c r="H120" s="275">
        <v>4</v>
      </c>
      <c r="I120" s="276">
        <v>4.19E-2</v>
      </c>
      <c r="J120" s="283"/>
      <c r="K120" s="276">
        <f t="shared" si="47"/>
        <v>1.4101358904109587E-4</v>
      </c>
      <c r="L120" s="283">
        <f t="shared" si="48"/>
        <v>10.92855315068493</v>
      </c>
      <c r="M120" s="274">
        <f t="shared" si="49"/>
        <v>3.365479452054794E-3</v>
      </c>
      <c r="N120" s="285">
        <v>46146</v>
      </c>
      <c r="O120" s="275">
        <f t="shared" ca="1" si="50"/>
        <v>0</v>
      </c>
      <c r="P120" s="274" t="str">
        <f t="shared" si="51"/>
        <v>NÃO</v>
      </c>
      <c r="Q120" s="283" t="s">
        <v>174</v>
      </c>
    </row>
    <row r="121" spans="1:17" ht="15.75" hidden="1" customHeight="1" outlineLevel="1" x14ac:dyDescent="0.2">
      <c r="A121" s="275" t="s">
        <v>161</v>
      </c>
      <c r="B121" s="275" t="s">
        <v>67</v>
      </c>
      <c r="C121" s="273">
        <v>2265.7199999999998</v>
      </c>
      <c r="D121" s="273">
        <v>2259.8000000000002</v>
      </c>
      <c r="E121" s="274">
        <v>0.17469999999999999</v>
      </c>
      <c r="F121" s="282">
        <v>2375</v>
      </c>
      <c r="G121" s="274">
        <f t="shared" si="46"/>
        <v>5.0977962651562E-2</v>
      </c>
      <c r="H121" s="275">
        <v>4</v>
      </c>
      <c r="I121" s="276">
        <v>1.7854000000000001</v>
      </c>
      <c r="J121" s="283"/>
      <c r="K121" s="276">
        <f t="shared" si="47"/>
        <v>3.4181849863013699E-3</v>
      </c>
      <c r="L121" s="283">
        <f t="shared" si="48"/>
        <v>8.1181893424657527</v>
      </c>
      <c r="M121" s="274">
        <f t="shared" si="49"/>
        <v>1.9145205479452053E-3</v>
      </c>
      <c r="N121" s="285">
        <v>46146</v>
      </c>
      <c r="O121" s="275">
        <f t="shared" ca="1" si="50"/>
        <v>0</v>
      </c>
      <c r="P121" s="274" t="str">
        <f t="shared" si="51"/>
        <v>NÃO</v>
      </c>
      <c r="Q121" s="283" t="s">
        <v>174</v>
      </c>
    </row>
    <row r="122" spans="1:17" ht="15.75" hidden="1" customHeight="1" outlineLevel="1" x14ac:dyDescent="0.2">
      <c r="A122" s="275" t="s">
        <v>161</v>
      </c>
      <c r="B122" s="275" t="s">
        <v>67</v>
      </c>
      <c r="C122" s="273">
        <v>2351</v>
      </c>
      <c r="D122" s="273">
        <v>2263.36</v>
      </c>
      <c r="E122" s="274">
        <v>0.33050000000000002</v>
      </c>
      <c r="F122" s="282">
        <v>2350</v>
      </c>
      <c r="G122" s="274">
        <f t="shared" si="46"/>
        <v>3.8279372260709682E-2</v>
      </c>
      <c r="H122" s="275">
        <v>4</v>
      </c>
      <c r="I122" s="276">
        <v>6.1123030000000002E-2</v>
      </c>
      <c r="J122" s="283"/>
      <c r="K122" s="276">
        <f t="shared" si="47"/>
        <v>2.2138259084931509E-4</v>
      </c>
      <c r="L122" s="283">
        <f t="shared" si="48"/>
        <v>0.52024908849589047</v>
      </c>
      <c r="M122" s="274">
        <f t="shared" si="49"/>
        <v>3.6219178082191783E-3</v>
      </c>
      <c r="N122" s="285">
        <v>46146</v>
      </c>
      <c r="O122" s="275">
        <f t="shared" ca="1" si="50"/>
        <v>0</v>
      </c>
      <c r="P122" s="274" t="str">
        <f t="shared" si="51"/>
        <v>SIM</v>
      </c>
      <c r="Q122" s="283" t="s">
        <v>175</v>
      </c>
    </row>
    <row r="123" spans="1:17" ht="15.75" hidden="1" customHeight="1" outlineLevel="1" x14ac:dyDescent="0.2">
      <c r="A123" s="262"/>
      <c r="B123" s="262"/>
      <c r="C123" s="262"/>
      <c r="D123" s="262"/>
      <c r="E123" s="262"/>
      <c r="F123" s="262"/>
      <c r="G123" s="262"/>
      <c r="H123" s="262"/>
      <c r="I123" s="262"/>
      <c r="J123" s="262"/>
      <c r="K123" s="281" t="s">
        <v>177</v>
      </c>
      <c r="L123" s="279">
        <f ca="1">SUMIFS(L71:L123,O71:O123,"&gt;0")</f>
        <v>0</v>
      </c>
      <c r="M123" s="180">
        <f ca="1">SUMIF(O71:O123,"&gt;0",M71:M123)</f>
        <v>0</v>
      </c>
    </row>
    <row r="124" spans="1:17" ht="15.75" customHeight="1" collapsed="1" x14ac:dyDescent="0.2">
      <c r="A124" s="262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</row>
    <row r="125" spans="1:17" ht="15.75" customHeight="1" x14ac:dyDescent="0.25">
      <c r="A125" s="376">
        <v>46082</v>
      </c>
      <c r="B125" s="377"/>
      <c r="C125" s="377"/>
      <c r="D125" s="377"/>
      <c r="E125" s="377"/>
      <c r="F125" s="377"/>
      <c r="G125" s="377"/>
      <c r="H125" s="377"/>
      <c r="I125" s="378"/>
      <c r="J125" s="281" t="s">
        <v>156</v>
      </c>
      <c r="K125" s="276">
        <f>SUM(K127:K159)</f>
        <v>5.4193869263262112E-2</v>
      </c>
      <c r="L125" s="286">
        <f>SUM(L127:L160)</f>
        <v>191.3695883080822</v>
      </c>
      <c r="M125" s="274">
        <f>SUM(M127:M159)</f>
        <v>9.6475616438356129E-2</v>
      </c>
      <c r="N125" s="379" t="s">
        <v>171</v>
      </c>
      <c r="O125" s="380"/>
      <c r="P125" s="274">
        <f>AVERAGE(M127:M159)</f>
        <v>2.9235035284350341E-3</v>
      </c>
      <c r="Q125" s="262"/>
    </row>
    <row r="126" spans="1:17" ht="15.75" hidden="1" customHeight="1" outlineLevel="1" x14ac:dyDescent="0.25">
      <c r="A126" s="311" t="s">
        <v>96</v>
      </c>
      <c r="B126" s="311" t="s">
        <v>38</v>
      </c>
      <c r="C126" s="311" t="s">
        <v>97</v>
      </c>
      <c r="D126" s="311" t="s">
        <v>167</v>
      </c>
      <c r="E126" s="311" t="s">
        <v>168</v>
      </c>
      <c r="F126" s="311" t="s">
        <v>41</v>
      </c>
      <c r="G126" s="311" t="s">
        <v>42</v>
      </c>
      <c r="H126" s="103" t="s">
        <v>169</v>
      </c>
      <c r="I126" s="381" t="s">
        <v>163</v>
      </c>
      <c r="J126" s="381"/>
      <c r="K126" s="382" t="s">
        <v>162</v>
      </c>
      <c r="L126" s="383"/>
      <c r="M126" s="311" t="s">
        <v>2</v>
      </c>
      <c r="N126" s="103" t="s">
        <v>155</v>
      </c>
      <c r="O126" s="103" t="s">
        <v>47</v>
      </c>
      <c r="P126" s="103" t="s">
        <v>58</v>
      </c>
    </row>
    <row r="127" spans="1:17" ht="15.75" hidden="1" customHeight="1" outlineLevel="1" x14ac:dyDescent="0.2">
      <c r="A127" s="275" t="s">
        <v>161</v>
      </c>
      <c r="B127" s="275" t="s">
        <v>67</v>
      </c>
      <c r="C127" s="312">
        <v>2049.4499999999998</v>
      </c>
      <c r="D127" s="273">
        <v>2034.51</v>
      </c>
      <c r="E127" s="274">
        <v>0.1736</v>
      </c>
      <c r="F127" s="282">
        <v>2325</v>
      </c>
      <c r="G127" s="274">
        <f t="shared" ref="G127:G151" si="52">IF(A127&lt;&gt;"",IF(C127&gt;0,ABS(C127-F127)/C127,0),"")</f>
        <v>0.13445070628705272</v>
      </c>
      <c r="H127" s="275">
        <v>2</v>
      </c>
      <c r="I127" s="276">
        <v>0.82</v>
      </c>
      <c r="J127" s="283"/>
      <c r="K127" s="276">
        <f t="shared" ref="K127:K149" si="53">IF(AND(I127&gt;0,J127&gt;0),"ERRO",IF(I127&gt;0,(E127/365)*H127*I127,IF(J127&gt;0,((E127/365)*H127*J127)/F127,"")))</f>
        <v>7.8001095890410958E-4</v>
      </c>
      <c r="L127" s="283">
        <f t="shared" ref="L127:L149" si="54">IF(AND(I127&gt;0,J127&gt;0),"ERRO",IF(J127&gt;0,(E127/365)*H127*J127,IF(K127&gt;0,K127*F127,"")))</f>
        <v>1.8135254794520548</v>
      </c>
      <c r="M127" s="274">
        <f t="shared" ref="M127:M149" si="55">IF(AND(I127&gt;0,J127&gt;0),"ERRO",IF(J127&gt;0,L127/J127,IF(I127&gt;0,K127/I127,"")))</f>
        <v>9.5123287671232881E-4</v>
      </c>
      <c r="N127" s="285">
        <v>46087</v>
      </c>
      <c r="O127" s="275">
        <f t="shared" ref="O127:O134" ca="1" si="56">IF(N127&lt;&gt;"",IF(N127-TODAY()&lt;1,0,N127-TODAY()),"")</f>
        <v>0</v>
      </c>
      <c r="P127" s="293" t="str">
        <f t="shared" ref="P127:P159" si="57">IF(A127&lt;&gt;"",IF(B127="CALL",(IF(C127&gt;=F127,"SIM","NÃO")),IF(B127="PUT",(IF(C127&lt;F127,"SIM","NÃO")),"FECHADO")),"")</f>
        <v>NÃO</v>
      </c>
      <c r="Q127" s="262"/>
    </row>
    <row r="128" spans="1:17" ht="15.75" hidden="1" customHeight="1" outlineLevel="1" x14ac:dyDescent="0.2">
      <c r="A128" s="275" t="s">
        <v>161</v>
      </c>
      <c r="B128" s="275" t="s">
        <v>67</v>
      </c>
      <c r="C128" s="273">
        <v>2019.92</v>
      </c>
      <c r="D128" s="273">
        <v>2009.71</v>
      </c>
      <c r="E128" s="274">
        <v>0.38600000000000001</v>
      </c>
      <c r="F128" s="282">
        <v>2150</v>
      </c>
      <c r="G128" s="274">
        <f t="shared" si="52"/>
        <v>6.4398590043169987E-2</v>
      </c>
      <c r="H128" s="275">
        <v>1</v>
      </c>
      <c r="I128" s="276">
        <v>0.82032799999999995</v>
      </c>
      <c r="J128" s="283"/>
      <c r="K128" s="276">
        <f t="shared" si="53"/>
        <v>8.6752495342465753E-4</v>
      </c>
      <c r="L128" s="283">
        <f t="shared" si="54"/>
        <v>1.8651786498630136</v>
      </c>
      <c r="M128" s="274">
        <f t="shared" si="55"/>
        <v>1.0575342465753426E-3</v>
      </c>
      <c r="N128" s="285">
        <v>46092</v>
      </c>
      <c r="O128" s="275">
        <f t="shared" ca="1" si="56"/>
        <v>0</v>
      </c>
      <c r="P128" s="293" t="str">
        <f t="shared" si="57"/>
        <v>NÃO</v>
      </c>
      <c r="Q128" s="262"/>
    </row>
    <row r="129" spans="1:18" ht="15.75" hidden="1" customHeight="1" outlineLevel="1" x14ac:dyDescent="0.2">
      <c r="A129" s="275" t="s">
        <v>161</v>
      </c>
      <c r="B129" s="275" t="s">
        <v>67</v>
      </c>
      <c r="C129" s="273">
        <v>2066.6999999999998</v>
      </c>
      <c r="D129" s="273">
        <v>2020.87</v>
      </c>
      <c r="E129" s="274">
        <v>0.4924</v>
      </c>
      <c r="F129" s="282">
        <v>2100</v>
      </c>
      <c r="G129" s="274">
        <f t="shared" si="52"/>
        <v>1.6112643344462274E-2</v>
      </c>
      <c r="H129" s="275">
        <v>1</v>
      </c>
      <c r="I129" s="276">
        <v>0.82110000000000005</v>
      </c>
      <c r="J129" s="283"/>
      <c r="K129" s="276">
        <f t="shared" si="53"/>
        <v>1.1076976438356165E-3</v>
      </c>
      <c r="L129" s="283">
        <f t="shared" si="54"/>
        <v>2.3261650520547947</v>
      </c>
      <c r="M129" s="274">
        <f t="shared" si="55"/>
        <v>1.3490410958904109E-3</v>
      </c>
      <c r="N129" s="285">
        <v>46093</v>
      </c>
      <c r="O129" s="275">
        <f t="shared" ca="1" si="56"/>
        <v>0</v>
      </c>
      <c r="P129" s="293" t="str">
        <f t="shared" si="57"/>
        <v>NÃO</v>
      </c>
      <c r="Q129" s="262"/>
    </row>
    <row r="130" spans="1:18" ht="15.75" hidden="1" customHeight="1" outlineLevel="1" x14ac:dyDescent="0.2">
      <c r="A130" s="275" t="s">
        <v>154</v>
      </c>
      <c r="B130" s="275" t="s">
        <v>50</v>
      </c>
      <c r="C130" s="273">
        <v>70742.2</v>
      </c>
      <c r="D130" s="273">
        <v>69529.09</v>
      </c>
      <c r="E130" s="274">
        <v>1.9679</v>
      </c>
      <c r="F130" s="282">
        <v>69000</v>
      </c>
      <c r="G130" s="274">
        <f t="shared" si="52"/>
        <v>2.4627450093437822E-2</v>
      </c>
      <c r="H130" s="275">
        <v>1</v>
      </c>
      <c r="I130" s="276"/>
      <c r="J130" s="283">
        <v>509.6</v>
      </c>
      <c r="K130" s="276">
        <f t="shared" si="53"/>
        <v>3.9819012904506652E-5</v>
      </c>
      <c r="L130" s="283">
        <f t="shared" si="54"/>
        <v>2.747511890410959</v>
      </c>
      <c r="M130" s="274">
        <f t="shared" si="55"/>
        <v>5.3915068493150687E-3</v>
      </c>
      <c r="N130" s="285">
        <v>46093</v>
      </c>
      <c r="O130" s="275">
        <f t="shared" ca="1" si="56"/>
        <v>0</v>
      </c>
      <c r="P130" s="293" t="str">
        <f t="shared" si="57"/>
        <v>NÃO</v>
      </c>
      <c r="Q130" s="262"/>
    </row>
    <row r="131" spans="1:18" ht="15.75" hidden="1" customHeight="1" outlineLevel="1" x14ac:dyDescent="0.2">
      <c r="A131" s="275" t="s">
        <v>154</v>
      </c>
      <c r="B131" s="275" t="s">
        <v>50</v>
      </c>
      <c r="C131" s="273">
        <v>72272.61</v>
      </c>
      <c r="D131" s="273">
        <v>70436.31</v>
      </c>
      <c r="E131" s="274">
        <v>1.3413999999999999</v>
      </c>
      <c r="F131" s="282">
        <v>69500</v>
      </c>
      <c r="G131" s="274">
        <f t="shared" si="52"/>
        <v>3.836321948245678E-2</v>
      </c>
      <c r="H131" s="275">
        <v>1</v>
      </c>
      <c r="I131" s="276"/>
      <c r="J131" s="283">
        <v>512.29999999999995</v>
      </c>
      <c r="K131" s="276">
        <f t="shared" si="53"/>
        <v>2.7089749482605695E-5</v>
      </c>
      <c r="L131" s="283">
        <f t="shared" si="54"/>
        <v>1.8827375890410958</v>
      </c>
      <c r="M131" s="274">
        <f t="shared" si="55"/>
        <v>3.6750684931506849E-3</v>
      </c>
      <c r="N131" s="285">
        <v>46094</v>
      </c>
      <c r="O131" s="275">
        <f t="shared" ca="1" si="56"/>
        <v>0</v>
      </c>
      <c r="P131" s="293" t="str">
        <f t="shared" si="57"/>
        <v>NÃO</v>
      </c>
      <c r="Q131" s="262"/>
    </row>
    <row r="132" spans="1:18" ht="15.75" hidden="1" customHeight="1" outlineLevel="1" x14ac:dyDescent="0.2">
      <c r="A132" s="275" t="s">
        <v>161</v>
      </c>
      <c r="B132" s="275" t="s">
        <v>67</v>
      </c>
      <c r="C132" s="273">
        <v>2066.8000000000002</v>
      </c>
      <c r="D132" s="273">
        <v>2069.58</v>
      </c>
      <c r="E132" s="274">
        <v>0.39760000000000001</v>
      </c>
      <c r="F132" s="282">
        <v>2150</v>
      </c>
      <c r="G132" s="274">
        <f t="shared" si="52"/>
        <v>4.0255467389200605E-2</v>
      </c>
      <c r="H132" s="275">
        <v>1</v>
      </c>
      <c r="I132" s="276">
        <v>0.82220000000000004</v>
      </c>
      <c r="J132" s="283"/>
      <c r="K132" s="276">
        <f t="shared" si="53"/>
        <v>8.9563484931506866E-4</v>
      </c>
      <c r="L132" s="283">
        <f t="shared" si="54"/>
        <v>1.9256149260273976</v>
      </c>
      <c r="M132" s="274">
        <f t="shared" si="55"/>
        <v>1.0893150684931508E-3</v>
      </c>
      <c r="N132" s="285">
        <v>46094</v>
      </c>
      <c r="O132" s="275">
        <f t="shared" ca="1" si="56"/>
        <v>0</v>
      </c>
      <c r="P132" s="293" t="str">
        <f t="shared" si="57"/>
        <v>NÃO</v>
      </c>
      <c r="Q132" s="262"/>
    </row>
    <row r="133" spans="1:18" ht="15.75" hidden="1" customHeight="1" outlineLevel="1" x14ac:dyDescent="0.2">
      <c r="A133" s="275" t="s">
        <v>154</v>
      </c>
      <c r="B133" s="275" t="s">
        <v>50</v>
      </c>
      <c r="C133" s="273">
        <v>71177.899999999994</v>
      </c>
      <c r="D133" s="273">
        <v>72267.520000000004</v>
      </c>
      <c r="E133" s="274">
        <v>0.69720000000000004</v>
      </c>
      <c r="F133" s="282">
        <v>71000</v>
      </c>
      <c r="G133" s="274">
        <f t="shared" si="52"/>
        <v>2.499371293617741E-3</v>
      </c>
      <c r="H133" s="275">
        <v>3</v>
      </c>
      <c r="I133" s="276"/>
      <c r="J133" s="283">
        <v>514.1</v>
      </c>
      <c r="K133" s="276">
        <f t="shared" si="53"/>
        <v>4.1493017943276101E-5</v>
      </c>
      <c r="L133" s="283">
        <f t="shared" si="54"/>
        <v>2.9460042739726031</v>
      </c>
      <c r="M133" s="274">
        <f t="shared" si="55"/>
        <v>5.7304109589041098E-3</v>
      </c>
      <c r="N133" s="285">
        <v>46097</v>
      </c>
      <c r="O133" s="275">
        <f t="shared" ca="1" si="56"/>
        <v>0</v>
      </c>
      <c r="P133" s="293" t="str">
        <f t="shared" si="57"/>
        <v>NÃO</v>
      </c>
      <c r="Q133" s="262"/>
    </row>
    <row r="134" spans="1:18" ht="15.75" hidden="1" customHeight="1" outlineLevel="1" x14ac:dyDescent="0.2">
      <c r="A134" s="275" t="s">
        <v>161</v>
      </c>
      <c r="B134" s="275" t="s">
        <v>67</v>
      </c>
      <c r="C134" s="273">
        <v>2104.66</v>
      </c>
      <c r="D134" s="273">
        <v>2119.48</v>
      </c>
      <c r="E134" s="274">
        <v>0.30209999999999998</v>
      </c>
      <c r="F134" s="282">
        <v>2250</v>
      </c>
      <c r="G134" s="274">
        <f t="shared" si="52"/>
        <v>6.9056284625545292E-2</v>
      </c>
      <c r="H134" s="275">
        <v>3</v>
      </c>
      <c r="I134" s="276">
        <v>0.82299999999999995</v>
      </c>
      <c r="J134" s="283"/>
      <c r="K134" s="276">
        <f t="shared" si="53"/>
        <v>2.0435202739726025E-3</v>
      </c>
      <c r="L134" s="283">
        <f t="shared" si="54"/>
        <v>4.5979206164383557</v>
      </c>
      <c r="M134" s="274">
        <f t="shared" si="55"/>
        <v>2.4830136986301369E-3</v>
      </c>
      <c r="N134" s="285">
        <v>46097</v>
      </c>
      <c r="O134" s="275">
        <f t="shared" ca="1" si="56"/>
        <v>0</v>
      </c>
      <c r="P134" s="293" t="str">
        <f t="shared" si="57"/>
        <v>NÃO</v>
      </c>
      <c r="Q134" s="262"/>
    </row>
    <row r="135" spans="1:18" ht="15.75" hidden="1" customHeight="1" outlineLevel="1" x14ac:dyDescent="0.2">
      <c r="A135" s="275" t="s">
        <v>154</v>
      </c>
      <c r="B135" s="275" t="s">
        <v>67</v>
      </c>
      <c r="C135" s="312">
        <v>74321.94</v>
      </c>
      <c r="D135" s="273">
        <v>73455.240000000005</v>
      </c>
      <c r="E135" s="274">
        <v>1.7806</v>
      </c>
      <c r="F135" s="282">
        <v>74000</v>
      </c>
      <c r="G135" s="274">
        <f t="shared" si="52"/>
        <v>4.3316953244224021E-3</v>
      </c>
      <c r="H135" s="275">
        <v>1</v>
      </c>
      <c r="I135" s="276">
        <v>8.9999999999999998E-4</v>
      </c>
      <c r="J135" s="283"/>
      <c r="K135" s="276">
        <f t="shared" si="53"/>
        <v>4.3905205479452056E-6</v>
      </c>
      <c r="L135" s="283">
        <f t="shared" si="54"/>
        <v>0.32489852054794521</v>
      </c>
      <c r="M135" s="274">
        <f t="shared" si="55"/>
        <v>4.8783561643835618E-3</v>
      </c>
      <c r="N135" s="285">
        <v>46098</v>
      </c>
      <c r="O135" s="275">
        <f t="shared" ref="O135:O147" ca="1" si="58">IF(N135&lt;&gt;"",IF(N135-TODAY()&lt;1,0,N135-TODAY()),"")</f>
        <v>0</v>
      </c>
      <c r="P135" s="294" t="str">
        <f t="shared" si="57"/>
        <v>SIM</v>
      </c>
      <c r="Q135" s="262"/>
    </row>
    <row r="136" spans="1:18" ht="15.75" hidden="1" customHeight="1" outlineLevel="1" x14ac:dyDescent="0.2">
      <c r="A136" s="275" t="s">
        <v>161</v>
      </c>
      <c r="B136" s="275" t="s">
        <v>50</v>
      </c>
      <c r="C136" s="273">
        <v>2307.9699999999998</v>
      </c>
      <c r="D136" s="273">
        <v>2266.0300000000002</v>
      </c>
      <c r="E136" s="274">
        <v>3.0697999999999999</v>
      </c>
      <c r="F136" s="282">
        <v>2250</v>
      </c>
      <c r="G136" s="274">
        <f t="shared" si="52"/>
        <v>2.5117310883590257E-2</v>
      </c>
      <c r="H136" s="275">
        <v>1</v>
      </c>
      <c r="I136" s="276"/>
      <c r="J136" s="283">
        <v>2373.3000000000002</v>
      </c>
      <c r="K136" s="276">
        <f t="shared" si="53"/>
        <v>8.8713014794520543E-3</v>
      </c>
      <c r="L136" s="283">
        <f t="shared" si="54"/>
        <v>19.960428328767122</v>
      </c>
      <c r="M136" s="274">
        <f t="shared" si="55"/>
        <v>8.410410958904109E-3</v>
      </c>
      <c r="N136" s="285">
        <v>46098</v>
      </c>
      <c r="O136" s="275">
        <f t="shared" ca="1" si="58"/>
        <v>0</v>
      </c>
      <c r="P136" s="293" t="str">
        <f t="shared" si="57"/>
        <v>NÃO</v>
      </c>
      <c r="Q136" s="262"/>
    </row>
    <row r="137" spans="1:18" ht="15.75" hidden="1" customHeight="1" outlineLevel="1" x14ac:dyDescent="0.2">
      <c r="A137" s="275" t="s">
        <v>154</v>
      </c>
      <c r="B137" s="275" t="s">
        <v>67</v>
      </c>
      <c r="C137" s="273">
        <v>73664.009999999995</v>
      </c>
      <c r="D137" s="273">
        <v>73455.240000000005</v>
      </c>
      <c r="E137" s="274">
        <v>1.0825</v>
      </c>
      <c r="F137" s="282">
        <v>75000</v>
      </c>
      <c r="G137" s="274">
        <f t="shared" si="52"/>
        <v>1.8136264914169149E-2</v>
      </c>
      <c r="H137" s="275">
        <v>1</v>
      </c>
      <c r="I137" s="276">
        <v>3.8300000000000001E-2</v>
      </c>
      <c r="J137" s="283"/>
      <c r="K137" s="276">
        <f t="shared" si="53"/>
        <v>1.1358835616438356E-4</v>
      </c>
      <c r="L137" s="283">
        <f t="shared" si="54"/>
        <v>8.5191267123287666</v>
      </c>
      <c r="M137" s="274">
        <f t="shared" si="55"/>
        <v>2.9657534246575342E-3</v>
      </c>
      <c r="N137" s="285">
        <v>46098</v>
      </c>
      <c r="O137" s="275">
        <f t="shared" ca="1" si="58"/>
        <v>0</v>
      </c>
      <c r="P137" s="293" t="str">
        <f t="shared" si="57"/>
        <v>NÃO</v>
      </c>
      <c r="Q137" s="262"/>
    </row>
    <row r="138" spans="1:18" ht="15.75" hidden="1" customHeight="1" outlineLevel="1" x14ac:dyDescent="0.2">
      <c r="A138" s="275" t="s">
        <v>161</v>
      </c>
      <c r="B138" s="275" t="s">
        <v>67</v>
      </c>
      <c r="C138" s="273">
        <v>2329.62</v>
      </c>
      <c r="D138" s="273">
        <v>2266.0300000000002</v>
      </c>
      <c r="E138" s="274">
        <v>1.8466</v>
      </c>
      <c r="F138" s="282">
        <v>2325</v>
      </c>
      <c r="G138" s="274">
        <f t="shared" si="52"/>
        <v>1.9831560512014366E-3</v>
      </c>
      <c r="H138" s="275">
        <v>1</v>
      </c>
      <c r="I138" s="276"/>
      <c r="J138" s="283">
        <v>13.67</v>
      </c>
      <c r="K138" s="276">
        <f t="shared" si="53"/>
        <v>2.9745791132714685E-5</v>
      </c>
      <c r="L138" s="283">
        <f t="shared" si="54"/>
        <v>6.9158964383561644E-2</v>
      </c>
      <c r="M138" s="274">
        <f t="shared" si="55"/>
        <v>5.0591780821917813E-3</v>
      </c>
      <c r="N138" s="285">
        <v>46098</v>
      </c>
      <c r="O138" s="275">
        <f t="shared" ca="1" si="58"/>
        <v>0</v>
      </c>
      <c r="P138" s="294" t="str">
        <f t="shared" si="57"/>
        <v>SIM</v>
      </c>
      <c r="Q138" s="262"/>
    </row>
    <row r="139" spans="1:18" ht="15.75" hidden="1" customHeight="1" outlineLevel="1" x14ac:dyDescent="0.2">
      <c r="A139" s="275" t="s">
        <v>154</v>
      </c>
      <c r="B139" s="275" t="s">
        <v>67</v>
      </c>
      <c r="C139" s="312">
        <v>74213.17</v>
      </c>
      <c r="D139" s="273">
        <v>74113.7</v>
      </c>
      <c r="E139" s="274">
        <v>1.2947</v>
      </c>
      <c r="F139" s="282">
        <v>75000</v>
      </c>
      <c r="G139" s="274">
        <f t="shared" si="52"/>
        <v>1.0602296061467282E-2</v>
      </c>
      <c r="H139" s="275">
        <v>1</v>
      </c>
      <c r="I139" s="276">
        <v>3.85E-2</v>
      </c>
      <c r="J139" s="283"/>
      <c r="K139" s="276">
        <f t="shared" si="53"/>
        <v>1.3656424657534246E-4</v>
      </c>
      <c r="L139" s="283">
        <f t="shared" si="54"/>
        <v>10.242318493150684</v>
      </c>
      <c r="M139" s="274">
        <f t="shared" si="55"/>
        <v>3.5471232876712329E-3</v>
      </c>
      <c r="N139" s="285">
        <v>46099</v>
      </c>
      <c r="O139" s="275">
        <f t="shared" ca="1" si="58"/>
        <v>0</v>
      </c>
      <c r="P139" s="293" t="str">
        <f t="shared" si="57"/>
        <v>NÃO</v>
      </c>
      <c r="Q139" s="262"/>
    </row>
    <row r="140" spans="1:18" ht="15.75" hidden="1" customHeight="1" outlineLevel="1" x14ac:dyDescent="0.2">
      <c r="A140" s="275" t="s">
        <v>161</v>
      </c>
      <c r="B140" s="275" t="s">
        <v>50</v>
      </c>
      <c r="C140" s="273">
        <v>2325.34</v>
      </c>
      <c r="D140" s="273">
        <v>2330.94</v>
      </c>
      <c r="E140" s="274">
        <v>3.4733000000000001</v>
      </c>
      <c r="F140" s="282">
        <v>2325</v>
      </c>
      <c r="G140" s="274">
        <f t="shared" si="52"/>
        <v>1.4621517713544923E-4</v>
      </c>
      <c r="H140" s="275">
        <v>1</v>
      </c>
      <c r="I140" s="276"/>
      <c r="J140" s="283">
        <v>2474.1</v>
      </c>
      <c r="K140" s="276">
        <f t="shared" si="53"/>
        <v>1.0126135254087494E-2</v>
      </c>
      <c r="L140" s="283">
        <f t="shared" si="54"/>
        <v>23.543264465753424</v>
      </c>
      <c r="M140" s="274">
        <f t="shared" si="55"/>
        <v>9.5158904109589049E-3</v>
      </c>
      <c r="N140" s="285">
        <v>46099</v>
      </c>
      <c r="O140" s="275">
        <f t="shared" ca="1" si="58"/>
        <v>0</v>
      </c>
      <c r="P140" s="293" t="str">
        <f t="shared" si="57"/>
        <v>NÃO</v>
      </c>
      <c r="Q140" s="262"/>
    </row>
    <row r="141" spans="1:18" ht="15.75" hidden="1" customHeight="1" outlineLevel="1" x14ac:dyDescent="0.2">
      <c r="A141" s="275" t="s">
        <v>154</v>
      </c>
      <c r="B141" s="275" t="s">
        <v>67</v>
      </c>
      <c r="C141" s="273">
        <v>70435.39</v>
      </c>
      <c r="D141" s="273">
        <v>74150.5</v>
      </c>
      <c r="E141" s="274">
        <v>1.3451</v>
      </c>
      <c r="F141" s="282">
        <v>75000</v>
      </c>
      <c r="G141" s="274">
        <f t="shared" si="52"/>
        <v>6.4805632509452996E-2</v>
      </c>
      <c r="H141" s="275">
        <v>1</v>
      </c>
      <c r="I141" s="276">
        <v>3.8600000000000002E-2</v>
      </c>
      <c r="J141" s="283"/>
      <c r="K141" s="276">
        <f t="shared" si="53"/>
        <v>1.4224893150684931E-4</v>
      </c>
      <c r="L141" s="283">
        <f t="shared" si="54"/>
        <v>10.668669863013699</v>
      </c>
      <c r="M141" s="274">
        <f t="shared" si="55"/>
        <v>3.6852054794520544E-3</v>
      </c>
      <c r="N141" s="285">
        <v>46100</v>
      </c>
      <c r="O141" s="275">
        <f t="shared" ca="1" si="58"/>
        <v>0</v>
      </c>
      <c r="P141" s="293" t="str">
        <f t="shared" si="57"/>
        <v>NÃO</v>
      </c>
      <c r="Q141" s="262"/>
    </row>
    <row r="142" spans="1:18" ht="15.75" hidden="1" customHeight="1" outlineLevel="1" x14ac:dyDescent="0.2">
      <c r="A142" s="275" t="s">
        <v>161</v>
      </c>
      <c r="B142" s="275" t="s">
        <v>67</v>
      </c>
      <c r="C142" s="273">
        <v>2183.61</v>
      </c>
      <c r="D142" s="273">
        <v>2323.36</v>
      </c>
      <c r="E142" s="274">
        <v>1.7225999999999999</v>
      </c>
      <c r="F142" s="282">
        <v>2375</v>
      </c>
      <c r="G142" s="274">
        <f t="shared" si="52"/>
        <v>8.7648435389103302E-2</v>
      </c>
      <c r="H142" s="275">
        <v>1</v>
      </c>
      <c r="I142" s="276">
        <v>1.0740000000000001</v>
      </c>
      <c r="J142" s="283"/>
      <c r="K142" s="276">
        <f t="shared" si="53"/>
        <v>5.0686915068493153E-3</v>
      </c>
      <c r="L142" s="283">
        <f t="shared" si="54"/>
        <v>12.038142328767124</v>
      </c>
      <c r="M142" s="274">
        <f t="shared" si="55"/>
        <v>4.7194520547945203E-3</v>
      </c>
      <c r="N142" s="285">
        <v>46100</v>
      </c>
      <c r="O142" s="275">
        <f t="shared" ca="1" si="58"/>
        <v>0</v>
      </c>
      <c r="P142" s="293" t="str">
        <f t="shared" si="57"/>
        <v>NÃO</v>
      </c>
      <c r="Q142" s="262"/>
    </row>
    <row r="143" spans="1:18" ht="15.75" hidden="1" customHeight="1" outlineLevel="1" x14ac:dyDescent="0.2">
      <c r="A143" s="275" t="s">
        <v>154</v>
      </c>
      <c r="B143" s="275" t="s">
        <v>67</v>
      </c>
      <c r="C143" s="273">
        <v>70376.81</v>
      </c>
      <c r="D143" s="273">
        <v>70499.990000000005</v>
      </c>
      <c r="E143" s="274">
        <v>1.1526000000000001</v>
      </c>
      <c r="F143" s="282">
        <v>71500</v>
      </c>
      <c r="G143" s="274">
        <f t="shared" si="52"/>
        <v>1.5959660575692508E-2</v>
      </c>
      <c r="H143" s="275">
        <v>1</v>
      </c>
      <c r="I143" s="276">
        <v>3.8699999999999998E-2</v>
      </c>
      <c r="J143" s="283"/>
      <c r="K143" s="276">
        <f t="shared" si="53"/>
        <v>1.2220717808219178E-4</v>
      </c>
      <c r="L143" s="283">
        <f t="shared" si="54"/>
        <v>8.7378132328767126</v>
      </c>
      <c r="M143" s="274">
        <f t="shared" si="55"/>
        <v>3.1578082191780822E-3</v>
      </c>
      <c r="N143" s="285">
        <v>46101</v>
      </c>
      <c r="O143" s="275">
        <f t="shared" ca="1" si="58"/>
        <v>0</v>
      </c>
      <c r="P143" s="293" t="str">
        <f t="shared" si="57"/>
        <v>NÃO</v>
      </c>
      <c r="Q143" s="262"/>
      <c r="R143" s="313"/>
    </row>
    <row r="144" spans="1:18" ht="15.75" hidden="1" customHeight="1" outlineLevel="1" x14ac:dyDescent="0.2">
      <c r="A144" s="275" t="s">
        <v>161</v>
      </c>
      <c r="B144" s="275" t="s">
        <v>67</v>
      </c>
      <c r="C144" s="273">
        <v>2142.66</v>
      </c>
      <c r="D144" s="273">
        <v>2184.29</v>
      </c>
      <c r="E144" s="274">
        <v>1.0676000000000001</v>
      </c>
      <c r="F144" s="282">
        <v>2250</v>
      </c>
      <c r="G144" s="274">
        <f t="shared" si="52"/>
        <v>5.0096608888017771E-2</v>
      </c>
      <c r="H144" s="275">
        <v>1</v>
      </c>
      <c r="I144" s="276">
        <v>1.079</v>
      </c>
      <c r="J144" s="283"/>
      <c r="K144" s="276">
        <f t="shared" si="53"/>
        <v>3.1560010958904114E-3</v>
      </c>
      <c r="L144" s="283">
        <f t="shared" si="54"/>
        <v>7.1010024657534254</v>
      </c>
      <c r="M144" s="274">
        <f t="shared" si="55"/>
        <v>2.9249315068493155E-3</v>
      </c>
      <c r="N144" s="285">
        <v>46101</v>
      </c>
      <c r="O144" s="275">
        <f t="shared" ca="1" si="58"/>
        <v>0</v>
      </c>
      <c r="P144" s="293" t="str">
        <f t="shared" si="57"/>
        <v>NÃO</v>
      </c>
      <c r="Q144" s="262"/>
      <c r="R144" s="313"/>
    </row>
    <row r="145" spans="1:18" ht="15.75" hidden="1" customHeight="1" outlineLevel="1" x14ac:dyDescent="0.2">
      <c r="A145" s="275" t="s">
        <v>161</v>
      </c>
      <c r="B145" s="275" t="s">
        <v>67</v>
      </c>
      <c r="C145" s="273">
        <v>2142.66</v>
      </c>
      <c r="D145" s="273">
        <v>2184.29</v>
      </c>
      <c r="E145" s="274">
        <v>1.4341999999999999</v>
      </c>
      <c r="F145" s="282">
        <v>2225</v>
      </c>
      <c r="G145" s="274">
        <f t="shared" si="52"/>
        <v>3.8428868789262015E-2</v>
      </c>
      <c r="H145" s="275">
        <v>1</v>
      </c>
      <c r="I145" s="276">
        <v>0.39700000000000002</v>
      </c>
      <c r="J145" s="283"/>
      <c r="K145" s="276">
        <f t="shared" si="53"/>
        <v>1.5599380821917808E-3</v>
      </c>
      <c r="L145" s="283">
        <f t="shared" si="54"/>
        <v>3.4708622328767125</v>
      </c>
      <c r="M145" s="274">
        <f t="shared" si="55"/>
        <v>3.9293150684931505E-3</v>
      </c>
      <c r="N145" s="285">
        <v>46101</v>
      </c>
      <c r="O145" s="275">
        <f t="shared" ca="1" si="58"/>
        <v>0</v>
      </c>
      <c r="P145" s="293" t="str">
        <f t="shared" si="57"/>
        <v>NÃO</v>
      </c>
      <c r="Q145" s="262"/>
      <c r="R145" s="313"/>
    </row>
    <row r="146" spans="1:18" ht="15.75" hidden="1" customHeight="1" outlineLevel="1" x14ac:dyDescent="0.2">
      <c r="A146" s="275" t="s">
        <v>154</v>
      </c>
      <c r="B146" s="275" t="s">
        <v>67</v>
      </c>
      <c r="C146" s="273">
        <v>69929.279999999999</v>
      </c>
      <c r="D146" s="273">
        <v>70298.720000000001</v>
      </c>
      <c r="E146" s="274">
        <v>0.23200000000000001</v>
      </c>
      <c r="F146" s="282">
        <v>73500</v>
      </c>
      <c r="G146" s="274">
        <f t="shared" si="52"/>
        <v>5.1061872794915107E-2</v>
      </c>
      <c r="H146" s="275">
        <v>3</v>
      </c>
      <c r="I146" s="276">
        <v>3.8800000000000001E-2</v>
      </c>
      <c r="J146" s="283"/>
      <c r="K146" s="276">
        <f t="shared" si="53"/>
        <v>7.3985753424657532E-5</v>
      </c>
      <c r="L146" s="283">
        <f t="shared" si="54"/>
        <v>5.4379528767123286</v>
      </c>
      <c r="M146" s="274">
        <f t="shared" si="55"/>
        <v>1.906849315068493E-3</v>
      </c>
      <c r="N146" s="285">
        <v>46104</v>
      </c>
      <c r="O146" s="275">
        <f t="shared" ca="1" si="58"/>
        <v>0</v>
      </c>
      <c r="P146" s="293" t="str">
        <f t="shared" si="57"/>
        <v>NÃO</v>
      </c>
      <c r="Q146" s="262"/>
      <c r="R146" s="313"/>
    </row>
    <row r="147" spans="1:18" ht="15.75" hidden="1" customHeight="1" outlineLevel="1" x14ac:dyDescent="0.2">
      <c r="A147" s="275" t="s">
        <v>161</v>
      </c>
      <c r="B147" s="275" t="s">
        <v>67</v>
      </c>
      <c r="C147" s="273">
        <v>2127.0500000000002</v>
      </c>
      <c r="D147" s="273">
        <v>2136.2600000000002</v>
      </c>
      <c r="E147" s="274">
        <v>0.31009999999999999</v>
      </c>
      <c r="F147" s="282">
        <v>2275</v>
      </c>
      <c r="G147" s="274">
        <f t="shared" si="52"/>
        <v>6.955642791659801E-2</v>
      </c>
      <c r="H147" s="275">
        <v>3</v>
      </c>
      <c r="I147" s="276">
        <v>1.4806999999999999</v>
      </c>
      <c r="J147" s="283"/>
      <c r="K147" s="276">
        <f t="shared" si="53"/>
        <v>3.7739594794520548E-3</v>
      </c>
      <c r="L147" s="283">
        <f t="shared" si="54"/>
        <v>8.5857578157534249</v>
      </c>
      <c r="M147" s="274">
        <f t="shared" si="55"/>
        <v>2.5487671232876713E-3</v>
      </c>
      <c r="N147" s="285">
        <v>46104</v>
      </c>
      <c r="O147" s="275">
        <f t="shared" ca="1" si="58"/>
        <v>0</v>
      </c>
      <c r="P147" s="293" t="str">
        <f t="shared" si="57"/>
        <v>NÃO</v>
      </c>
      <c r="Q147" s="262"/>
      <c r="R147" s="313"/>
    </row>
    <row r="148" spans="1:18" ht="15.75" hidden="1" customHeight="1" outlineLevel="1" x14ac:dyDescent="0.2">
      <c r="A148" s="275" t="s">
        <v>154</v>
      </c>
      <c r="B148" s="275" t="s">
        <v>67</v>
      </c>
      <c r="C148" s="273">
        <v>71238.53</v>
      </c>
      <c r="D148" s="273">
        <v>70833.05</v>
      </c>
      <c r="E148" s="274">
        <v>0.1852</v>
      </c>
      <c r="F148" s="282">
        <v>74000</v>
      </c>
      <c r="G148" s="274">
        <f t="shared" si="52"/>
        <v>3.8763713962093285E-2</v>
      </c>
      <c r="H148" s="275">
        <v>1</v>
      </c>
      <c r="I148" s="276">
        <v>3.8899999999999997E-2</v>
      </c>
      <c r="J148" s="283"/>
      <c r="K148" s="276">
        <f t="shared" si="53"/>
        <v>1.9737753424657536E-5</v>
      </c>
      <c r="L148" s="283">
        <f t="shared" si="54"/>
        <v>1.4605937534246576</v>
      </c>
      <c r="M148" s="274">
        <f t="shared" si="55"/>
        <v>5.0739726027397266E-4</v>
      </c>
      <c r="N148" s="285">
        <v>46105</v>
      </c>
      <c r="O148" s="275">
        <f t="shared" ref="O148:O155" ca="1" si="59">IF(N148&lt;&gt;"",IF(N148-TODAY()&lt;1,0,N148-TODAY()),"")</f>
        <v>0</v>
      </c>
      <c r="P148" s="293" t="str">
        <f t="shared" si="57"/>
        <v>NÃO</v>
      </c>
      <c r="Q148" s="262"/>
      <c r="R148" s="313"/>
    </row>
    <row r="149" spans="1:18" ht="15.75" hidden="1" customHeight="1" outlineLevel="1" x14ac:dyDescent="0.2">
      <c r="A149" s="275" t="s">
        <v>161</v>
      </c>
      <c r="B149" s="275" t="s">
        <v>67</v>
      </c>
      <c r="C149" s="273">
        <v>2163.86</v>
      </c>
      <c r="D149" s="273">
        <v>2148.48</v>
      </c>
      <c r="E149" s="274">
        <v>0.1734</v>
      </c>
      <c r="F149" s="282">
        <v>2325</v>
      </c>
      <c r="G149" s="274">
        <f t="shared" si="52"/>
        <v>7.4468773395690968E-2</v>
      </c>
      <c r="H149" s="275">
        <v>1</v>
      </c>
      <c r="I149" s="276">
        <v>1.4843999999999999</v>
      </c>
      <c r="J149" s="283"/>
      <c r="K149" s="276">
        <f t="shared" si="53"/>
        <v>7.0519167123287666E-4</v>
      </c>
      <c r="L149" s="283">
        <f t="shared" si="54"/>
        <v>1.6395706356164381</v>
      </c>
      <c r="M149" s="274">
        <f t="shared" si="55"/>
        <v>4.7506849315068493E-4</v>
      </c>
      <c r="N149" s="285">
        <v>46105</v>
      </c>
      <c r="O149" s="275">
        <f t="shared" ca="1" si="59"/>
        <v>0</v>
      </c>
      <c r="P149" s="293" t="str">
        <f t="shared" si="57"/>
        <v>NÃO</v>
      </c>
      <c r="Q149" s="262"/>
      <c r="R149" s="313"/>
    </row>
    <row r="150" spans="1:18" ht="15.75" hidden="1" customHeight="1" outlineLevel="1" x14ac:dyDescent="0.2">
      <c r="A150" s="275" t="s">
        <v>154</v>
      </c>
      <c r="B150" s="275" t="s">
        <v>67</v>
      </c>
      <c r="C150" s="273">
        <v>71423.42</v>
      </c>
      <c r="D150" s="273">
        <v>71188.28</v>
      </c>
      <c r="E150" s="274">
        <v>0.20080000000000001</v>
      </c>
      <c r="F150" s="282">
        <v>74000</v>
      </c>
      <c r="G150" s="274">
        <f t="shared" si="52"/>
        <v>3.6074721708929676E-2</v>
      </c>
      <c r="H150" s="275">
        <v>1</v>
      </c>
      <c r="I150" s="276">
        <v>3.8899999999999997E-2</v>
      </c>
      <c r="J150" s="283"/>
      <c r="K150" s="276">
        <f t="shared" ref="K150:K155" si="60">IF(AND(I150&gt;0,J150&gt;0),"ERRO",IF(I150&gt;0,(E150/365)*H150*I150,IF(J150&gt;0,((E150/365)*H150*J150)/F150,"")))</f>
        <v>2.1400328767123289E-5</v>
      </c>
      <c r="L150" s="283">
        <f>IF(AND(I150&gt;0,J150&gt;0),"ERRO",IF(J150&gt;0,(E150/365)*H150*J150,IF(K150&gt;0,K150*F150,"")))</f>
        <v>1.5836243287671234</v>
      </c>
      <c r="M150" s="274">
        <f t="shared" ref="M150:M155" si="61">IF(AND(I150&gt;0,J150&gt;0),"ERRO",IF(J150&gt;0,L150/J150,IF(I150&gt;0,K150/I150,"")))</f>
        <v>5.501369863013699E-4</v>
      </c>
      <c r="N150" s="285">
        <v>46106</v>
      </c>
      <c r="O150" s="275">
        <f t="shared" ca="1" si="59"/>
        <v>0</v>
      </c>
      <c r="P150" s="293" t="str">
        <f t="shared" si="57"/>
        <v>NÃO</v>
      </c>
      <c r="Q150" s="262"/>
      <c r="R150" s="313"/>
    </row>
    <row r="151" spans="1:18" ht="15.75" hidden="1" customHeight="1" outlineLevel="1" x14ac:dyDescent="0.2">
      <c r="A151" s="275" t="s">
        <v>161</v>
      </c>
      <c r="B151" s="275" t="s">
        <v>67</v>
      </c>
      <c r="C151" s="273">
        <v>2110.0100000000002</v>
      </c>
      <c r="D151" s="273">
        <v>2160.81</v>
      </c>
      <c r="E151" s="274">
        <v>0.33229999999999998</v>
      </c>
      <c r="F151" s="282">
        <v>2275</v>
      </c>
      <c r="G151" s="274">
        <f t="shared" si="52"/>
        <v>7.8193942208804587E-2</v>
      </c>
      <c r="H151" s="275">
        <v>1</v>
      </c>
      <c r="I151" s="276">
        <v>1.4850000000000001</v>
      </c>
      <c r="J151" s="283"/>
      <c r="K151" s="276">
        <f t="shared" si="60"/>
        <v>1.3519602739726028E-3</v>
      </c>
      <c r="L151" s="283">
        <f>IF(AND(I151&gt;0,J151&gt;0),"ERRO",IF(J151&gt;0,(E151/365)*H151*J151,IF(K151&gt;0,K151*F151,"")))</f>
        <v>3.0757096232876715</v>
      </c>
      <c r="M151" s="274">
        <f t="shared" si="61"/>
        <v>9.1041095890410961E-4</v>
      </c>
      <c r="N151" s="285">
        <v>46106</v>
      </c>
      <c r="O151" s="275">
        <f t="shared" ca="1" si="59"/>
        <v>0</v>
      </c>
      <c r="P151" s="293" t="str">
        <f t="shared" si="57"/>
        <v>NÃO</v>
      </c>
      <c r="Q151" s="262"/>
      <c r="R151" s="313"/>
    </row>
    <row r="152" spans="1:18" ht="15.75" hidden="1" customHeight="1" outlineLevel="1" x14ac:dyDescent="0.2">
      <c r="A152" s="275" t="s">
        <v>154</v>
      </c>
      <c r="B152" s="275" t="s">
        <v>67</v>
      </c>
      <c r="C152" s="273">
        <v>71613.83</v>
      </c>
      <c r="D152" s="273">
        <v>71349.36</v>
      </c>
      <c r="E152" s="274">
        <v>0.3579</v>
      </c>
      <c r="F152" s="282">
        <v>73500</v>
      </c>
      <c r="G152" s="274">
        <f t="shared" ref="G152:G159" si="62">IF(A152&lt;&gt;"",IF(D152&gt;0,ABS(D152-F152)/D152,0),"")</f>
        <v>3.0142386701156106E-2</v>
      </c>
      <c r="H152" s="275">
        <v>1</v>
      </c>
      <c r="I152" s="276">
        <v>3.9E-2</v>
      </c>
      <c r="J152" s="283"/>
      <c r="K152" s="276">
        <f t="shared" si="60"/>
        <v>3.8241369863013699E-5</v>
      </c>
      <c r="L152" s="283">
        <f>IF(AND(I152&gt;0,J152&gt;0),"ERRO",IF(J152&gt;0,(E152/365)*H152*J152,IF(K152&gt;0,K152*F152,"")))</f>
        <v>2.8107406849315071</v>
      </c>
      <c r="M152" s="274">
        <f t="shared" si="61"/>
        <v>9.8054794520547944E-4</v>
      </c>
      <c r="N152" s="285">
        <v>46107</v>
      </c>
      <c r="O152" s="275">
        <f t="shared" ca="1" si="59"/>
        <v>0</v>
      </c>
      <c r="P152" s="293" t="str">
        <f t="shared" si="57"/>
        <v>NÃO</v>
      </c>
      <c r="Q152" s="262"/>
      <c r="R152" s="313"/>
    </row>
    <row r="153" spans="1:18" ht="15.75" hidden="1" customHeight="1" outlineLevel="1" x14ac:dyDescent="0.2">
      <c r="A153" s="275" t="s">
        <v>161</v>
      </c>
      <c r="B153" s="275" t="s">
        <v>67</v>
      </c>
      <c r="C153" s="273">
        <v>2185.2199999999998</v>
      </c>
      <c r="D153" s="273">
        <v>2185.2199999999998</v>
      </c>
      <c r="E153" s="274">
        <v>0.54079999999999995</v>
      </c>
      <c r="F153" s="282">
        <v>2275</v>
      </c>
      <c r="G153" s="274">
        <f t="shared" si="62"/>
        <v>4.1085108135565394E-2</v>
      </c>
      <c r="H153" s="275">
        <v>1</v>
      </c>
      <c r="I153" s="276">
        <v>1.4863</v>
      </c>
      <c r="J153" s="283"/>
      <c r="K153" s="276">
        <f t="shared" si="60"/>
        <v>2.2021672328767119E-3</v>
      </c>
      <c r="L153" s="283">
        <f>IF(F153&gt;0,IF(AND(I153&gt;0,J153&gt;0),"ERRO",IF(J153&gt;0,(E153/365)*H153*J153,IF(K153&gt;0,K153*F153,""))),"")</f>
        <v>5.00993045479452</v>
      </c>
      <c r="M153" s="274">
        <f t="shared" si="61"/>
        <v>1.4816438356164382E-3</v>
      </c>
      <c r="N153" s="285">
        <v>46107</v>
      </c>
      <c r="O153" s="275">
        <f t="shared" ca="1" si="59"/>
        <v>0</v>
      </c>
      <c r="P153" s="293" t="str">
        <f t="shared" si="57"/>
        <v>NÃO</v>
      </c>
      <c r="Q153" s="262"/>
      <c r="R153" s="313"/>
    </row>
    <row r="154" spans="1:18" ht="15.75" hidden="1" customHeight="1" outlineLevel="1" x14ac:dyDescent="0.2">
      <c r="A154" s="275" t="s">
        <v>154</v>
      </c>
      <c r="B154" s="275" t="s">
        <v>67</v>
      </c>
      <c r="C154" s="312">
        <v>69541.119999999995</v>
      </c>
      <c r="D154" s="273">
        <v>69541.119999999995</v>
      </c>
      <c r="E154" s="274">
        <v>0.1208</v>
      </c>
      <c r="F154" s="282">
        <v>73000</v>
      </c>
      <c r="G154" s="274">
        <f t="shared" si="62"/>
        <v>4.9738629461245444E-2</v>
      </c>
      <c r="H154" s="275">
        <v>1</v>
      </c>
      <c r="I154" s="276">
        <v>3.9E-2</v>
      </c>
      <c r="J154" s="283"/>
      <c r="K154" s="276">
        <f t="shared" si="60"/>
        <v>1.2907397260273975E-5</v>
      </c>
      <c r="L154" s="283">
        <f t="shared" ref="L154:L159" si="63">IF(C154&gt;0,IF(AND(I154&gt;0,J154&gt;0),"ERRO",IF(J154&gt;0,(E154/365)*H154*J154,IF(K154&gt;0,K154*F154,""))),"")</f>
        <v>0.94224000000000019</v>
      </c>
      <c r="M154" s="274">
        <f t="shared" si="61"/>
        <v>3.3095890410958907E-4</v>
      </c>
      <c r="N154" s="285">
        <v>46108</v>
      </c>
      <c r="O154" s="275">
        <f t="shared" ca="1" si="59"/>
        <v>0</v>
      </c>
      <c r="P154" s="293" t="str">
        <f t="shared" si="57"/>
        <v>NÃO</v>
      </c>
      <c r="Q154" s="262"/>
      <c r="R154" s="313"/>
    </row>
    <row r="155" spans="1:18" ht="15.75" hidden="1" customHeight="1" outlineLevel="1" x14ac:dyDescent="0.2">
      <c r="A155" s="275" t="s">
        <v>161</v>
      </c>
      <c r="B155" s="275" t="s">
        <v>67</v>
      </c>
      <c r="C155" s="273">
        <v>2042.3</v>
      </c>
      <c r="D155" s="273">
        <v>2077.86</v>
      </c>
      <c r="E155" s="274">
        <v>0.1028</v>
      </c>
      <c r="F155" s="282">
        <v>2275</v>
      </c>
      <c r="G155" s="274">
        <f t="shared" si="62"/>
        <v>9.4876459434225527E-2</v>
      </c>
      <c r="H155" s="275">
        <v>1</v>
      </c>
      <c r="I155" s="276">
        <v>1.4883999999999999</v>
      </c>
      <c r="J155" s="283"/>
      <c r="K155" s="276">
        <f t="shared" si="60"/>
        <v>4.1919868493150688E-4</v>
      </c>
      <c r="L155" s="283">
        <f t="shared" si="63"/>
        <v>0.95367700821917811</v>
      </c>
      <c r="M155" s="274">
        <f t="shared" si="61"/>
        <v>2.8164383561643839E-4</v>
      </c>
      <c r="N155" s="285">
        <v>46108</v>
      </c>
      <c r="O155" s="275">
        <f t="shared" ca="1" si="59"/>
        <v>0</v>
      </c>
      <c r="P155" s="293" t="str">
        <f t="shared" si="57"/>
        <v>NÃO</v>
      </c>
      <c r="Q155" s="262"/>
      <c r="R155" s="313"/>
    </row>
    <row r="156" spans="1:18" ht="15.75" hidden="1" customHeight="1" outlineLevel="1" x14ac:dyDescent="0.2">
      <c r="A156" s="275" t="s">
        <v>161</v>
      </c>
      <c r="B156" s="275" t="s">
        <v>67</v>
      </c>
      <c r="C156" s="312">
        <v>2099.73</v>
      </c>
      <c r="D156" s="273">
        <v>2050.33</v>
      </c>
      <c r="E156" s="274">
        <v>0.35439999999999999</v>
      </c>
      <c r="F156" s="282">
        <v>2125</v>
      </c>
      <c r="G156" s="274">
        <f t="shared" si="62"/>
        <v>3.6418527749191631E-2</v>
      </c>
      <c r="H156" s="275">
        <v>1</v>
      </c>
      <c r="I156" s="276">
        <v>1.4890000000000001</v>
      </c>
      <c r="J156" s="283"/>
      <c r="K156" s="276">
        <f>IF(AND(I156&gt;0,J156&gt;0),"ERRO",IF(I156&gt;0,(E156/365)*H156*I156,IF(J156&gt;0,((E156/365)*H156*J156)/F156,"")))</f>
        <v>1.4457578082191782E-3</v>
      </c>
      <c r="L156" s="283">
        <f t="shared" si="63"/>
        <v>3.0722353424657536</v>
      </c>
      <c r="M156" s="274">
        <f>IF(AND(I156&gt;0,J156&gt;0),"ERRO",IF(J156&gt;0,L156/J156,IF(I156&gt;0,K156/I156,"")))</f>
        <v>9.7095890410958902E-4</v>
      </c>
      <c r="N156" s="285">
        <v>46113</v>
      </c>
      <c r="O156" s="275">
        <f ca="1">IF(N156&lt;&gt;"",IF(N156-TODAY()&lt;1,0,N156-TODAY()),"")</f>
        <v>0</v>
      </c>
      <c r="P156" s="293" t="str">
        <f t="shared" si="57"/>
        <v>NÃO</v>
      </c>
      <c r="Q156" s="262"/>
      <c r="R156" s="313"/>
    </row>
    <row r="157" spans="1:18" ht="15.75" hidden="1" customHeight="1" outlineLevel="1" x14ac:dyDescent="0.2">
      <c r="A157" s="275" t="s">
        <v>154</v>
      </c>
      <c r="B157" s="275" t="s">
        <v>67</v>
      </c>
      <c r="C157" s="273">
        <v>67716.929999999993</v>
      </c>
      <c r="D157" s="273">
        <v>66756.009999999995</v>
      </c>
      <c r="E157" s="274">
        <v>0.1993</v>
      </c>
      <c r="F157" s="282">
        <v>68500</v>
      </c>
      <c r="G157" s="274">
        <f t="shared" si="62"/>
        <v>2.6124838797285898E-2</v>
      </c>
      <c r="H157" s="275">
        <v>1</v>
      </c>
      <c r="I157" s="276">
        <v>3.9E-2</v>
      </c>
      <c r="J157" s="283"/>
      <c r="K157" s="276">
        <f>IF(AND(I157&gt;0,J157&gt;0),"ERRO",IF(I157&gt;0,(E157/365)*H157*I157,IF(J157&gt;0,((E157/365)*H157*J157)/F157,"")))</f>
        <v>2.1295068493150684E-5</v>
      </c>
      <c r="L157" s="283">
        <f t="shared" si="63"/>
        <v>1.4587121917808219</v>
      </c>
      <c r="M157" s="274">
        <f>IF(AND(I157&gt;0,J157&gt;0),"ERRO",IF(J157&gt;0,L157/J157,IF(I157&gt;0,K157/I157,"")))</f>
        <v>5.4602739726027397E-4</v>
      </c>
      <c r="N157" s="285">
        <v>46113</v>
      </c>
      <c r="O157" s="275">
        <f ca="1">IF(N157&lt;&gt;"",IF(N157-TODAY()&lt;1,0,N157-TODAY()),"")</f>
        <v>0</v>
      </c>
      <c r="P157" s="293" t="str">
        <f t="shared" si="57"/>
        <v>NÃO</v>
      </c>
      <c r="Q157" s="262"/>
      <c r="R157" s="313"/>
    </row>
    <row r="158" spans="1:18" ht="15.75" hidden="1" customHeight="1" outlineLevel="1" x14ac:dyDescent="0.2">
      <c r="A158" s="275" t="s">
        <v>154</v>
      </c>
      <c r="B158" s="275" t="s">
        <v>50</v>
      </c>
      <c r="C158" s="273">
        <v>66377</v>
      </c>
      <c r="D158" s="273">
        <v>66853.19</v>
      </c>
      <c r="E158" s="274">
        <v>1.4827999999999999</v>
      </c>
      <c r="F158" s="282">
        <v>68000</v>
      </c>
      <c r="G158" s="274">
        <f t="shared" si="62"/>
        <v>1.7154155246742867E-2</v>
      </c>
      <c r="H158" s="275">
        <v>1</v>
      </c>
      <c r="I158" s="276"/>
      <c r="J158" s="283">
        <v>2919</v>
      </c>
      <c r="K158" s="276">
        <f>IF(AND(I158&gt;0,J158&gt;0),"ERRO",IF(I158&gt;0,(E158/365)*H158*I158,IF(J158&gt;0,((E158/365)*H158*J158)/F158,"")))</f>
        <v>1.7438731668009669E-4</v>
      </c>
      <c r="L158" s="283">
        <f t="shared" si="63"/>
        <v>11.858337534246575</v>
      </c>
      <c r="M158" s="274">
        <f>IF(AND(I158&gt;0,J158&gt;0),"ERRO",IF(J158&gt;0,L158/J158,IF(I158&gt;0,K158/I158,"")))</f>
        <v>4.0624657534246572E-3</v>
      </c>
      <c r="N158" s="285">
        <v>46055</v>
      </c>
      <c r="O158" s="275">
        <f ca="1">IF(N158&lt;&gt;"",IF(N158-TODAY()&lt;1,0,N158-TODAY()),"")</f>
        <v>0</v>
      </c>
      <c r="P158" s="294" t="str">
        <f t="shared" si="57"/>
        <v>SIM</v>
      </c>
      <c r="Q158" s="262"/>
      <c r="R158" s="313"/>
    </row>
    <row r="159" spans="1:18" ht="15.75" hidden="1" customHeight="1" outlineLevel="1" x14ac:dyDescent="0.2">
      <c r="A159" s="275" t="s">
        <v>161</v>
      </c>
      <c r="B159" s="275" t="s">
        <v>50</v>
      </c>
      <c r="C159" s="273">
        <v>2036.1</v>
      </c>
      <c r="D159" s="273">
        <v>2053.52</v>
      </c>
      <c r="E159" s="274">
        <v>2.3368000000000002</v>
      </c>
      <c r="F159" s="282">
        <v>2125</v>
      </c>
      <c r="G159" s="274">
        <f t="shared" si="62"/>
        <v>3.4808523900424646E-2</v>
      </c>
      <c r="H159" s="275">
        <v>1</v>
      </c>
      <c r="I159" s="276"/>
      <c r="J159" s="283">
        <v>2920.9</v>
      </c>
      <c r="K159" s="276">
        <f>IF(AND(I159&gt;0,J159&gt;0),"ERRO",IF(I159&gt;0,(E159/365)*H159*I159,IF(J159&gt;0,((E159/365)*H159*J159)/F159,"")))</f>
        <v>8.8000762224012905E-3</v>
      </c>
      <c r="L159" s="283">
        <f t="shared" si="63"/>
        <v>18.700161972602743</v>
      </c>
      <c r="M159" s="274">
        <f>IF(AND(I159&gt;0,J159&gt;0),"ERRO",IF(J159&gt;0,L159/J159,IF(I159&gt;0,K159/I159,"")))</f>
        <v>6.4021917808219191E-3</v>
      </c>
      <c r="N159" s="285">
        <v>46055</v>
      </c>
      <c r="O159" s="275">
        <f ca="1">IF(N159&lt;&gt;"",IF(N159-TODAY()&lt;1,0,N159-TODAY()),"")</f>
        <v>0</v>
      </c>
      <c r="P159" s="294" t="str">
        <f t="shared" si="57"/>
        <v>SIM</v>
      </c>
      <c r="Q159" s="262"/>
      <c r="R159" s="313"/>
    </row>
    <row r="160" spans="1:18" ht="15.75" customHeight="1" collapsed="1" x14ac:dyDescent="0.2">
      <c r="Q160" s="262"/>
      <c r="R160" s="313"/>
    </row>
    <row r="161" spans="1:17" ht="15.75" customHeight="1" x14ac:dyDescent="0.25">
      <c r="A161" s="376">
        <v>46054</v>
      </c>
      <c r="B161" s="377"/>
      <c r="C161" s="377"/>
      <c r="D161" s="377"/>
      <c r="E161" s="377"/>
      <c r="F161" s="377"/>
      <c r="G161" s="377"/>
      <c r="H161" s="377"/>
      <c r="I161" s="378"/>
      <c r="J161" s="281" t="s">
        <v>156</v>
      </c>
      <c r="K161" s="276">
        <f>SUM(K163:K239)</f>
        <v>0.13724206660983709</v>
      </c>
      <c r="L161" s="286">
        <f>SUM(L163:L164)</f>
        <v>0</v>
      </c>
      <c r="M161" s="274">
        <f>SUM(M163:M164)</f>
        <v>3.4684931506849314E-4</v>
      </c>
      <c r="N161" s="379" t="s">
        <v>171</v>
      </c>
      <c r="O161" s="380"/>
      <c r="P161" s="274">
        <f>AVERAGE(M163:M170)</f>
        <v>2.9958904109589042E-4</v>
      </c>
      <c r="Q161" s="262"/>
    </row>
    <row r="162" spans="1:17" ht="15.75" hidden="1" customHeight="1" outlineLevel="1" x14ac:dyDescent="0.25">
      <c r="A162" s="311" t="s">
        <v>96</v>
      </c>
      <c r="B162" s="311" t="s">
        <v>38</v>
      </c>
      <c r="C162" s="311" t="s">
        <v>97</v>
      </c>
      <c r="D162" s="311" t="s">
        <v>167</v>
      </c>
      <c r="E162" s="311" t="s">
        <v>168</v>
      </c>
      <c r="F162" s="311" t="s">
        <v>41</v>
      </c>
      <c r="G162" s="311" t="s">
        <v>42</v>
      </c>
      <c r="H162" s="103" t="s">
        <v>169</v>
      </c>
      <c r="I162" s="381" t="s">
        <v>163</v>
      </c>
      <c r="J162" s="381"/>
      <c r="K162" s="382" t="s">
        <v>162</v>
      </c>
      <c r="L162" s="383"/>
      <c r="M162" s="311" t="s">
        <v>2</v>
      </c>
      <c r="N162" s="103" t="s">
        <v>155</v>
      </c>
      <c r="O162" s="103" t="s">
        <v>47</v>
      </c>
      <c r="P162" s="103" t="s">
        <v>58</v>
      </c>
      <c r="Q162" s="262"/>
    </row>
    <row r="163" spans="1:17" ht="15.75" hidden="1" customHeight="1" outlineLevel="1" x14ac:dyDescent="0.2">
      <c r="A163" s="100" t="s">
        <v>161</v>
      </c>
      <c r="B163" s="264" t="s">
        <v>67</v>
      </c>
      <c r="C163" s="265">
        <v>0</v>
      </c>
      <c r="D163" s="265"/>
      <c r="E163" s="180">
        <v>6.3299999999999995E-2</v>
      </c>
      <c r="F163" s="266">
        <v>2300</v>
      </c>
      <c r="G163" s="180">
        <f>IF(A163&lt;&gt;"",IF(D163&gt;0,ABS(D163-F163)/D163,0),"")</f>
        <v>0</v>
      </c>
      <c r="H163" s="213">
        <v>2</v>
      </c>
      <c r="I163" s="267">
        <v>0.82</v>
      </c>
      <c r="J163" s="268"/>
      <c r="K163" s="269">
        <f>IF(I163&gt;0,(E163/365)*H163*I163,"")</f>
        <v>2.8441643835616436E-4</v>
      </c>
      <c r="L163" s="279">
        <f>IF(OR(N(J163)&gt;0, N(K163)&gt;0), (E163/365)*H163*N(J163) + N(K163)*D163, "")</f>
        <v>0</v>
      </c>
      <c r="M163" s="180">
        <f>IF(J163&gt;0,L163/J163,IF(I163&gt;0,(K163/I163),""))</f>
        <v>3.4684931506849314E-4</v>
      </c>
      <c r="N163" s="270"/>
      <c r="O163" s="213" t="str">
        <f ca="1">IF(N163&lt;&gt;"",IF(N163-TODAY()&lt;1,0,N163-TODAY()),"")</f>
        <v/>
      </c>
      <c r="P163" s="180" t="str">
        <f>IF(A163&lt;&gt;"",IF(B163="CALL",(IF(C163&gt;=F163,"SIM","NÃO")),IF(B163="PUT",(IF(C163&lt;F163,"SIM","NÃO")),"FECHADO")),"")</f>
        <v>NÃO</v>
      </c>
      <c r="Q163" s="262"/>
    </row>
    <row r="164" spans="1:17" ht="15.75" customHeight="1" collapsed="1" x14ac:dyDescent="0.2">
      <c r="A164" s="262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</row>
    <row r="165" spans="1:17" ht="15.75" customHeight="1" x14ac:dyDescent="0.25">
      <c r="A165" s="376">
        <v>46023</v>
      </c>
      <c r="B165" s="377"/>
      <c r="C165" s="377"/>
      <c r="D165" s="377"/>
      <c r="E165" s="377"/>
      <c r="F165" s="377"/>
      <c r="G165" s="377"/>
      <c r="H165" s="377"/>
      <c r="I165" s="378"/>
      <c r="J165" s="281" t="s">
        <v>156</v>
      </c>
      <c r="K165" s="276">
        <f>SUM(K167:K248)</f>
        <v>6.880968560558659E-2</v>
      </c>
      <c r="L165" s="286">
        <f>SUM(L167:L168)</f>
        <v>1.6493280187397263E-2</v>
      </c>
      <c r="M165" s="274">
        <f>SUM(M167:M168)</f>
        <v>1.6602739726027398E-4</v>
      </c>
      <c r="N165" s="379" t="s">
        <v>171</v>
      </c>
      <c r="O165" s="380"/>
      <c r="P165" s="274">
        <f>AVERAGE(M167:M178)</f>
        <v>5.9043835616438374E-3</v>
      </c>
      <c r="Q165" s="262"/>
    </row>
    <row r="166" spans="1:17" ht="15.75" hidden="1" customHeight="1" outlineLevel="1" x14ac:dyDescent="0.25">
      <c r="A166" s="310" t="s">
        <v>96</v>
      </c>
      <c r="B166" s="310" t="s">
        <v>38</v>
      </c>
      <c r="C166" s="310" t="s">
        <v>97</v>
      </c>
      <c r="D166" s="310" t="s">
        <v>167</v>
      </c>
      <c r="E166" s="310" t="s">
        <v>168</v>
      </c>
      <c r="F166" s="310" t="s">
        <v>41</v>
      </c>
      <c r="G166" s="310" t="s">
        <v>42</v>
      </c>
      <c r="H166" s="103" t="s">
        <v>169</v>
      </c>
      <c r="I166" s="308" t="s">
        <v>165</v>
      </c>
      <c r="J166" s="309" t="s">
        <v>166</v>
      </c>
      <c r="K166" s="382" t="s">
        <v>164</v>
      </c>
      <c r="L166" s="383"/>
      <c r="M166" s="310" t="s">
        <v>2</v>
      </c>
      <c r="N166" s="103" t="s">
        <v>155</v>
      </c>
      <c r="O166" s="103" t="s">
        <v>170</v>
      </c>
      <c r="P166" s="103" t="s">
        <v>58</v>
      </c>
      <c r="Q166" s="262"/>
    </row>
    <row r="167" spans="1:17" ht="15.75" hidden="1" customHeight="1" outlineLevel="1" x14ac:dyDescent="0.2">
      <c r="A167" s="275" t="s">
        <v>154</v>
      </c>
      <c r="B167" s="275" t="s">
        <v>67</v>
      </c>
      <c r="C167" s="273">
        <v>90311.99</v>
      </c>
      <c r="D167" s="273">
        <v>90309.74</v>
      </c>
      <c r="E167" s="274">
        <v>6.0600000000000001E-2</v>
      </c>
      <c r="F167" s="282">
        <v>92500</v>
      </c>
      <c r="G167" s="274">
        <f>IF(A167&lt;&gt;"",IF(D167&gt;0,ABS(D167-F167)/D167,0),"")</f>
        <v>2.4252755018450884E-2</v>
      </c>
      <c r="H167" s="275">
        <v>1</v>
      </c>
      <c r="I167" s="276">
        <v>1.1000000000000001E-3</v>
      </c>
      <c r="J167" s="283"/>
      <c r="K167" s="276">
        <f>IF(I167&gt;0,(E167/365)*H167*I167,"")</f>
        <v>1.8263013698630139E-7</v>
      </c>
      <c r="L167" s="283">
        <f>IF(OR(N(J167)&gt;0, N(K167)&gt;0), (E167/365)*H167*N(J167) + N(K167)*D167, "")</f>
        <v>1.6493280187397263E-2</v>
      </c>
      <c r="M167" s="274">
        <f>IF(J167&gt;0,L167/J167,IF(I167&gt;0,(K167/I167),""))</f>
        <v>1.6602739726027398E-4</v>
      </c>
      <c r="N167" s="285">
        <v>46044</v>
      </c>
      <c r="O167" s="275">
        <f ca="1">IF(N167&lt;&gt;"",IF(N167-TODAY()&lt;1,0,N167-TODAY()),"")</f>
        <v>0</v>
      </c>
      <c r="P167" s="293" t="str">
        <f>IF(A167&lt;&gt;"",IF(B167="CALL",(IF(C167&gt;=F167,"SIM","NÃO")),IF(B167="PUT",(IF(C167&lt;F167,"SIM","NÃO")),"FECHADO")),"")</f>
        <v>NÃO</v>
      </c>
      <c r="Q167" s="262"/>
    </row>
    <row r="168" spans="1:17" ht="15.75" customHeight="1" collapsed="1" x14ac:dyDescent="0.2">
      <c r="A168" s="262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</row>
    <row r="169" spans="1:17" ht="15.75" customHeight="1" x14ac:dyDescent="0.25">
      <c r="A169" s="376">
        <v>45962</v>
      </c>
      <c r="B169" s="377"/>
      <c r="C169" s="377"/>
      <c r="D169" s="377"/>
      <c r="E169" s="377"/>
      <c r="F169" s="377"/>
      <c r="G169" s="377"/>
      <c r="H169" s="377"/>
      <c r="I169" s="378"/>
      <c r="J169" s="281" t="s">
        <v>156</v>
      </c>
      <c r="K169" s="276">
        <f>SUM(K171:K254)</f>
        <v>3.454468393095729E-2</v>
      </c>
      <c r="L169" s="286">
        <f>SUM(L171:L172)</f>
        <v>5.464489130958905E-2</v>
      </c>
      <c r="M169" s="274">
        <f>SUM(M171:M173)</f>
        <v>5.1945205479452059E-4</v>
      </c>
      <c r="N169" s="379" t="s">
        <v>171</v>
      </c>
      <c r="O169" s="380"/>
      <c r="P169" s="274">
        <f>AVERAGE(M171:M184)</f>
        <v>5.9345703611457046E-3</v>
      </c>
    </row>
    <row r="170" spans="1:17" ht="15.75" hidden="1" customHeight="1" outlineLevel="1" x14ac:dyDescent="0.25">
      <c r="A170" s="305" t="s">
        <v>96</v>
      </c>
      <c r="B170" s="305" t="s">
        <v>38</v>
      </c>
      <c r="C170" s="305" t="s">
        <v>97</v>
      </c>
      <c r="D170" s="305" t="s">
        <v>167</v>
      </c>
      <c r="E170" s="305" t="s">
        <v>168</v>
      </c>
      <c r="F170" s="305" t="s">
        <v>41</v>
      </c>
      <c r="G170" s="305" t="s">
        <v>42</v>
      </c>
      <c r="H170" s="103" t="s">
        <v>169</v>
      </c>
      <c r="I170" s="303" t="s">
        <v>165</v>
      </c>
      <c r="J170" s="304" t="s">
        <v>166</v>
      </c>
      <c r="K170" s="382" t="s">
        <v>164</v>
      </c>
      <c r="L170" s="383"/>
      <c r="M170" s="305" t="s">
        <v>2</v>
      </c>
      <c r="N170" s="103" t="s">
        <v>155</v>
      </c>
      <c r="O170" s="103" t="s">
        <v>170</v>
      </c>
      <c r="P170" s="103" t="s">
        <v>58</v>
      </c>
    </row>
    <row r="171" spans="1:17" ht="15.75" hidden="1" customHeight="1" outlineLevel="1" x14ac:dyDescent="0.2">
      <c r="A171" s="100" t="s">
        <v>154</v>
      </c>
      <c r="B171" s="264" t="s">
        <v>67</v>
      </c>
      <c r="C171" s="265">
        <v>95628.63</v>
      </c>
      <c r="D171" s="265">
        <v>95633.8</v>
      </c>
      <c r="E171" s="180">
        <v>6.3200000000000006E-2</v>
      </c>
      <c r="F171" s="266">
        <v>103500</v>
      </c>
      <c r="G171" s="180">
        <f>IF(A171&lt;&gt;"",IF(D171&gt;0,ABS(D171-F171)/D171,0),"")</f>
        <v>8.2253345574472586E-2</v>
      </c>
      <c r="H171" s="213">
        <v>3</v>
      </c>
      <c r="I171" s="267">
        <v>1.1000000000000001E-3</v>
      </c>
      <c r="J171" s="268"/>
      <c r="K171" s="269">
        <f>IF(I171&gt;0,(E171/365)*H171*I171,"")</f>
        <v>5.7139726027397266E-7</v>
      </c>
      <c r="L171" s="279">
        <f>IF(OR(N(J171)&gt;0, N(K171)&gt;0), (E171/365)*H171*N(J171) + N(K171)*D171, "")</f>
        <v>5.464489130958905E-2</v>
      </c>
      <c r="M171" s="180">
        <f>IF(J171&gt;0,L171/J171,IF(I171&gt;0,(K171/I171),""))</f>
        <v>5.1945205479452059E-4</v>
      </c>
      <c r="N171" s="270">
        <v>45978</v>
      </c>
      <c r="O171" s="213">
        <f ca="1">IF(N171&lt;&gt;"",IF(N171-TODAY()&lt;1,0,N171-TODAY()),"")</f>
        <v>0</v>
      </c>
      <c r="P171" s="180" t="str">
        <f>IF(A171&lt;&gt;"",IF(B171="CALL",(IF(C171&gt;=F171,"SIM","NÃO")),IF(B171="PUT",(IF(C171&lt;F171,"SIM","NÃO")),"FECHADO")),"")</f>
        <v>NÃO</v>
      </c>
    </row>
    <row r="172" spans="1:17" ht="15.75" hidden="1" customHeight="1" outlineLevel="1" x14ac:dyDescent="0.2">
      <c r="A172" s="201"/>
      <c r="B172" s="201"/>
      <c r="C172" s="201"/>
      <c r="D172" s="201"/>
      <c r="E172" s="201"/>
      <c r="F172" s="201"/>
      <c r="G172" s="201"/>
      <c r="H172" s="201"/>
      <c r="I172" s="201"/>
      <c r="J172" s="201"/>
      <c r="K172" s="201"/>
      <c r="L172" s="306"/>
      <c r="M172" s="201"/>
      <c r="N172" s="201"/>
      <c r="O172" s="201"/>
      <c r="P172" s="201"/>
    </row>
    <row r="173" spans="1:17" ht="15.75" customHeight="1" collapsed="1" x14ac:dyDescent="0.2">
      <c r="A173" s="262"/>
      <c r="B173" s="262"/>
      <c r="C173" s="262"/>
      <c r="D173" s="262"/>
      <c r="E173" s="262"/>
      <c r="F173" s="262"/>
      <c r="G173" s="262"/>
      <c r="H173" s="262"/>
      <c r="I173" s="262"/>
      <c r="J173" s="262"/>
      <c r="K173" s="307"/>
      <c r="L173" s="262"/>
      <c r="M173" s="262"/>
      <c r="N173" s="262"/>
      <c r="O173" s="262"/>
      <c r="P173" s="262"/>
      <c r="Q173" s="262"/>
    </row>
    <row r="174" spans="1:17" ht="15.75" customHeight="1" x14ac:dyDescent="0.25">
      <c r="A174" s="376">
        <v>45931</v>
      </c>
      <c r="B174" s="377"/>
      <c r="C174" s="377"/>
      <c r="D174" s="377"/>
      <c r="E174" s="377"/>
      <c r="F174" s="377"/>
      <c r="G174" s="377"/>
      <c r="H174" s="377"/>
      <c r="I174" s="378"/>
      <c r="J174" s="281" t="s">
        <v>156</v>
      </c>
      <c r="K174" s="276">
        <f>SUM(K176:K192)</f>
        <v>1.4531699536986301E-2</v>
      </c>
      <c r="L174" s="286">
        <f>SUM(L176:L192)</f>
        <v>103.08340912469258</v>
      </c>
      <c r="M174" s="274">
        <f>SUM(M176:M192)</f>
        <v>3.4007123287671248E-2</v>
      </c>
      <c r="N174" s="379" t="s">
        <v>171</v>
      </c>
      <c r="O174" s="380"/>
      <c r="P174" s="274">
        <f>AVERAGE(M176:M192)</f>
        <v>2.125445205479453E-3</v>
      </c>
    </row>
    <row r="175" spans="1:17" ht="15.75" hidden="1" customHeight="1" outlineLevel="1" x14ac:dyDescent="0.25">
      <c r="A175" s="298" t="s">
        <v>96</v>
      </c>
      <c r="B175" s="298" t="s">
        <v>38</v>
      </c>
      <c r="C175" s="298" t="s">
        <v>97</v>
      </c>
      <c r="D175" s="298" t="s">
        <v>167</v>
      </c>
      <c r="E175" s="298" t="s">
        <v>168</v>
      </c>
      <c r="F175" s="298" t="s">
        <v>41</v>
      </c>
      <c r="G175" s="298" t="s">
        <v>42</v>
      </c>
      <c r="H175" s="103" t="s">
        <v>169</v>
      </c>
      <c r="I175" s="299" t="s">
        <v>165</v>
      </c>
      <c r="J175" s="300" t="s">
        <v>166</v>
      </c>
      <c r="K175" s="382" t="s">
        <v>164</v>
      </c>
      <c r="L175" s="383"/>
      <c r="M175" s="298" t="s">
        <v>2</v>
      </c>
      <c r="N175" s="103" t="s">
        <v>155</v>
      </c>
      <c r="O175" s="103" t="s">
        <v>170</v>
      </c>
      <c r="P175" s="103" t="s">
        <v>58</v>
      </c>
    </row>
    <row r="176" spans="1:17" ht="15.75" hidden="1" customHeight="1" outlineLevel="1" x14ac:dyDescent="0.2">
      <c r="A176" s="275" t="s">
        <v>154</v>
      </c>
      <c r="B176" s="275" t="s">
        <v>67</v>
      </c>
      <c r="C176" s="273">
        <v>118653.23</v>
      </c>
      <c r="D176" s="273">
        <v>116380.09</v>
      </c>
      <c r="E176" s="274">
        <v>1.4901</v>
      </c>
      <c r="F176" s="282">
        <v>116500</v>
      </c>
      <c r="G176" s="274">
        <f t="shared" ref="G176:G191" si="64">IF(A176&lt;&gt;"",IF(D176&gt;0,ABS(D176-F176)/D176,0),"")</f>
        <v>1.0303308753241511E-3</v>
      </c>
      <c r="H176" s="275">
        <v>1</v>
      </c>
      <c r="I176" s="276">
        <v>1.1310000000000001E-2</v>
      </c>
      <c r="J176" s="283"/>
      <c r="K176" s="276">
        <f t="shared" ref="K176:K182" si="65">IF(I176&gt;0,(E176/365)*H176*I176,"")</f>
        <v>4.6172687671232876E-5</v>
      </c>
      <c r="L176" s="283">
        <f t="shared" ref="L176:L182" si="66">IF(OR(N(J176)&gt;0, N(K176)&gt;0), (E176/365)*H176*N(J176) + N(K176)*D176, "")</f>
        <v>5.3735815467199721</v>
      </c>
      <c r="M176" s="274">
        <f t="shared" ref="M176:M182" si="67">IF(J176&gt;0,L176/J176,IF(I176&gt;0,(K176/I176),""))</f>
        <v>4.0824657534246573E-3</v>
      </c>
      <c r="N176" s="285">
        <v>45932</v>
      </c>
      <c r="O176" s="275">
        <f t="shared" ref="O176:O182" ca="1" si="68">IF(N176&lt;&gt;"",IF(N176-TODAY()&lt;1,0,N176-TODAY()),"")</f>
        <v>0</v>
      </c>
      <c r="P176" s="294" t="str">
        <f t="shared" ref="P176:P191" si="69">IF(A176&lt;&gt;"",IF(B176="CALL",(IF(C176&gt;=F176,"SIM","NÃO")),IF(B176="PUT",(IF(C176&lt;F176,"SIM","NÃO")),"FECHADO")),"")</f>
        <v>SIM</v>
      </c>
    </row>
    <row r="177" spans="1:16" ht="15.75" hidden="1" customHeight="1" outlineLevel="1" x14ac:dyDescent="0.2">
      <c r="A177" s="275" t="s">
        <v>154</v>
      </c>
      <c r="B177" s="275" t="s">
        <v>50</v>
      </c>
      <c r="C177" s="273">
        <v>120330.45</v>
      </c>
      <c r="D177" s="273">
        <v>118638</v>
      </c>
      <c r="E177" s="274">
        <v>0.30680000000000002</v>
      </c>
      <c r="F177" s="282">
        <v>117000</v>
      </c>
      <c r="G177" s="274">
        <f t="shared" si="64"/>
        <v>1.3806706114398421E-2</v>
      </c>
      <c r="H177" s="275">
        <v>1</v>
      </c>
      <c r="I177" s="276"/>
      <c r="J177" s="283">
        <v>1326.1</v>
      </c>
      <c r="K177" s="276" t="str">
        <f t="shared" si="65"/>
        <v/>
      </c>
      <c r="L177" s="283">
        <f t="shared" si="66"/>
        <v>1.1146506301369863</v>
      </c>
      <c r="M177" s="274">
        <f t="shared" si="67"/>
        <v>8.4054794520547951E-4</v>
      </c>
      <c r="N177" s="285">
        <v>45933</v>
      </c>
      <c r="O177" s="275">
        <f t="shared" ca="1" si="68"/>
        <v>0</v>
      </c>
      <c r="P177" s="293" t="str">
        <f t="shared" si="69"/>
        <v>NÃO</v>
      </c>
    </row>
    <row r="178" spans="1:16" ht="15.75" hidden="1" customHeight="1" outlineLevel="1" x14ac:dyDescent="0.2">
      <c r="A178" s="275" t="s">
        <v>161</v>
      </c>
      <c r="B178" s="275" t="s">
        <v>67</v>
      </c>
      <c r="C178" s="273">
        <v>4383.68</v>
      </c>
      <c r="D178" s="273">
        <v>4382.33</v>
      </c>
      <c r="E178" s="274">
        <v>0.43640000000000001</v>
      </c>
      <c r="F178" s="282">
        <v>4500</v>
      </c>
      <c r="G178" s="274">
        <f t="shared" si="64"/>
        <v>2.6851013045571664E-2</v>
      </c>
      <c r="H178" s="275">
        <v>1</v>
      </c>
      <c r="I178" s="276">
        <v>0.7833</v>
      </c>
      <c r="J178" s="283"/>
      <c r="K178" s="276">
        <f t="shared" si="65"/>
        <v>9.3652635616438349E-4</v>
      </c>
      <c r="L178" s="283">
        <f t="shared" si="66"/>
        <v>4.1041675464098626</v>
      </c>
      <c r="M178" s="274">
        <f t="shared" si="67"/>
        <v>1.1956164383561643E-3</v>
      </c>
      <c r="N178" s="285">
        <v>45933</v>
      </c>
      <c r="O178" s="275">
        <f t="shared" ca="1" si="68"/>
        <v>0</v>
      </c>
      <c r="P178" s="293" t="str">
        <f t="shared" si="69"/>
        <v>NÃO</v>
      </c>
    </row>
    <row r="179" spans="1:16" ht="15.75" hidden="1" customHeight="1" outlineLevel="1" x14ac:dyDescent="0.2">
      <c r="A179" s="275" t="s">
        <v>154</v>
      </c>
      <c r="B179" s="275" t="s">
        <v>50</v>
      </c>
      <c r="C179" s="273">
        <v>122671.2</v>
      </c>
      <c r="D179" s="273">
        <v>120384.97</v>
      </c>
      <c r="E179" s="274">
        <v>0.1216</v>
      </c>
      <c r="F179" s="282">
        <v>117500</v>
      </c>
      <c r="G179" s="274">
        <f t="shared" si="64"/>
        <v>2.3964536436732933E-2</v>
      </c>
      <c r="H179" s="275">
        <v>3</v>
      </c>
      <c r="I179" s="276"/>
      <c r="J179" s="283">
        <v>1327.1</v>
      </c>
      <c r="K179" s="276" t="str">
        <f t="shared" si="65"/>
        <v/>
      </c>
      <c r="L179" s="283">
        <f t="shared" si="66"/>
        <v>1.3263728219178081</v>
      </c>
      <c r="M179" s="274">
        <f t="shared" si="67"/>
        <v>9.9945205479452055E-4</v>
      </c>
      <c r="N179" s="285">
        <v>45936</v>
      </c>
      <c r="O179" s="275">
        <f t="shared" ca="1" si="68"/>
        <v>0</v>
      </c>
      <c r="P179" s="293" t="str">
        <f t="shared" si="69"/>
        <v>NÃO</v>
      </c>
    </row>
    <row r="180" spans="1:16" ht="15.75" hidden="1" customHeight="1" outlineLevel="1" x14ac:dyDescent="0.2">
      <c r="A180" s="275" t="s">
        <v>161</v>
      </c>
      <c r="B180" s="275" t="s">
        <v>67</v>
      </c>
      <c r="C180" s="273">
        <v>4523.6099999999997</v>
      </c>
      <c r="D180" s="273">
        <v>4542.32</v>
      </c>
      <c r="E180" s="274">
        <v>1.2753000000000001</v>
      </c>
      <c r="F180" s="282">
        <v>4500</v>
      </c>
      <c r="G180" s="274">
        <f t="shared" si="64"/>
        <v>9.3168248824388664E-3</v>
      </c>
      <c r="H180" s="275">
        <v>3</v>
      </c>
      <c r="I180" s="276">
        <v>0.78420000000000001</v>
      </c>
      <c r="J180" s="283"/>
      <c r="K180" s="276">
        <f t="shared" si="65"/>
        <v>8.2199199452054807E-3</v>
      </c>
      <c r="L180" s="283">
        <f t="shared" si="66"/>
        <v>37.337506765505758</v>
      </c>
      <c r="M180" s="274">
        <f t="shared" si="67"/>
        <v>1.0481917808219179E-2</v>
      </c>
      <c r="N180" s="285">
        <v>45936</v>
      </c>
      <c r="O180" s="275">
        <f t="shared" ca="1" si="68"/>
        <v>0</v>
      </c>
      <c r="P180" s="294" t="str">
        <f t="shared" si="69"/>
        <v>SIM</v>
      </c>
    </row>
    <row r="181" spans="1:16" ht="15.75" hidden="1" customHeight="1" outlineLevel="1" x14ac:dyDescent="0.2">
      <c r="A181" s="275" t="s">
        <v>161</v>
      </c>
      <c r="B181" s="275" t="s">
        <v>50</v>
      </c>
      <c r="C181" s="273">
        <v>4693.41</v>
      </c>
      <c r="D181" s="273">
        <v>4559.24</v>
      </c>
      <c r="E181" s="274">
        <v>2.1093999999999999</v>
      </c>
      <c r="F181" s="282">
        <v>4550</v>
      </c>
      <c r="G181" s="274">
        <f t="shared" si="64"/>
        <v>2.0266535650678144E-3</v>
      </c>
      <c r="H181" s="275">
        <v>1</v>
      </c>
      <c r="I181" s="276"/>
      <c r="J181" s="283">
        <v>1800</v>
      </c>
      <c r="K181" s="276" t="str">
        <f t="shared" si="65"/>
        <v/>
      </c>
      <c r="L181" s="283">
        <f t="shared" si="66"/>
        <v>10.402520547945205</v>
      </c>
      <c r="M181" s="274">
        <f t="shared" si="67"/>
        <v>5.7791780821917806E-3</v>
      </c>
      <c r="N181" s="285">
        <v>45937</v>
      </c>
      <c r="O181" s="275">
        <f t="shared" ca="1" si="68"/>
        <v>0</v>
      </c>
      <c r="P181" s="293" t="str">
        <f t="shared" si="69"/>
        <v>NÃO</v>
      </c>
    </row>
    <row r="182" spans="1:16" ht="15.75" hidden="1" customHeight="1" outlineLevel="1" x14ac:dyDescent="0.2">
      <c r="A182" s="275" t="s">
        <v>161</v>
      </c>
      <c r="B182" s="275" t="s">
        <v>50</v>
      </c>
      <c r="C182" s="273">
        <v>4578.5200000000004</v>
      </c>
      <c r="D182" s="273">
        <v>4559.24</v>
      </c>
      <c r="E182" s="274">
        <v>1.4263999999999999</v>
      </c>
      <c r="F182" s="282">
        <v>4525</v>
      </c>
      <c r="G182" s="274">
        <f t="shared" si="64"/>
        <v>7.5100236004245844E-3</v>
      </c>
      <c r="H182" s="275">
        <v>1</v>
      </c>
      <c r="I182" s="276"/>
      <c r="J182" s="283">
        <v>3093.9</v>
      </c>
      <c r="K182" s="276" t="str">
        <f t="shared" si="65"/>
        <v/>
      </c>
      <c r="L182" s="283">
        <f t="shared" si="66"/>
        <v>12.090791671232875</v>
      </c>
      <c r="M182" s="274">
        <f t="shared" si="67"/>
        <v>3.9079452054794515E-3</v>
      </c>
      <c r="N182" s="285">
        <v>45937</v>
      </c>
      <c r="O182" s="275">
        <f t="shared" ca="1" si="68"/>
        <v>0</v>
      </c>
      <c r="P182" s="293" t="str">
        <f t="shared" si="69"/>
        <v>NÃO</v>
      </c>
    </row>
    <row r="183" spans="1:16" ht="15.75" hidden="1" customHeight="1" outlineLevel="1" x14ac:dyDescent="0.2">
      <c r="A183" s="275" t="s">
        <v>161</v>
      </c>
      <c r="B183" s="275" t="s">
        <v>50</v>
      </c>
      <c r="C183" s="273">
        <v>4481.1499999999996</v>
      </c>
      <c r="D183" s="273">
        <v>4690.58</v>
      </c>
      <c r="E183" s="274">
        <v>0.63929999999999998</v>
      </c>
      <c r="F183" s="282">
        <v>4600</v>
      </c>
      <c r="G183" s="274">
        <f t="shared" si="64"/>
        <v>1.9311044689569293E-2</v>
      </c>
      <c r="H183" s="275">
        <v>1</v>
      </c>
      <c r="I183" s="276"/>
      <c r="J183" s="283">
        <v>4916</v>
      </c>
      <c r="K183" s="276" t="str">
        <f t="shared" ref="K183:K188" si="70">IF(I183&gt;0,(E183/365)*H183*I183,"")</f>
        <v/>
      </c>
      <c r="L183" s="283">
        <f t="shared" ref="L183:L188" si="71">IF(OR(N(J183)&gt;0, N(K183)&gt;0), (E183/365)*H183*N(J183) + N(K183)*D183, "")</f>
        <v>8.6104076712328759</v>
      </c>
      <c r="M183" s="274">
        <f t="shared" ref="M183:M188" si="72">IF(J183&gt;0,L183/J183,IF(I183&gt;0,(K183/I183),""))</f>
        <v>1.7515068493150683E-3</v>
      </c>
      <c r="N183" s="285">
        <v>45938</v>
      </c>
      <c r="O183" s="275">
        <f t="shared" ref="O183:O188" ca="1" si="73">IF(N183&lt;&gt;"",IF(N183-TODAY()&lt;1,0,N183-TODAY()),"")</f>
        <v>0</v>
      </c>
      <c r="P183" s="294" t="str">
        <f t="shared" si="69"/>
        <v>SIM</v>
      </c>
    </row>
    <row r="184" spans="1:16" ht="15.75" hidden="1" customHeight="1" outlineLevel="1" x14ac:dyDescent="0.2">
      <c r="A184" s="275" t="s">
        <v>161</v>
      </c>
      <c r="B184" s="275" t="s">
        <v>67</v>
      </c>
      <c r="C184" s="273">
        <v>4343.43</v>
      </c>
      <c r="D184" s="273">
        <v>4486.7299999999996</v>
      </c>
      <c r="E184" s="274">
        <v>0.626</v>
      </c>
      <c r="F184" s="282">
        <v>4600</v>
      </c>
      <c r="G184" s="274">
        <f t="shared" si="64"/>
        <v>2.5245557454984018E-2</v>
      </c>
      <c r="H184" s="275">
        <v>1</v>
      </c>
      <c r="I184" s="276">
        <v>1.0706</v>
      </c>
      <c r="J184" s="283"/>
      <c r="K184" s="276">
        <f t="shared" si="70"/>
        <v>1.8361523287671233E-3</v>
      </c>
      <c r="L184" s="283">
        <f t="shared" si="71"/>
        <v>8.2383197380493147</v>
      </c>
      <c r="M184" s="274">
        <f t="shared" si="72"/>
        <v>1.7150684931506849E-3</v>
      </c>
      <c r="N184" s="285">
        <v>45939</v>
      </c>
      <c r="O184" s="275">
        <f t="shared" ca="1" si="73"/>
        <v>0</v>
      </c>
      <c r="P184" s="293" t="str">
        <f t="shared" si="69"/>
        <v>NÃO</v>
      </c>
    </row>
    <row r="185" spans="1:16" ht="15.75" hidden="1" customHeight="1" outlineLevel="1" x14ac:dyDescent="0.2">
      <c r="A185" s="275" t="s">
        <v>161</v>
      </c>
      <c r="B185" s="275" t="s">
        <v>67</v>
      </c>
      <c r="C185" s="273">
        <v>4333.3999999999996</v>
      </c>
      <c r="D185" s="273">
        <v>4327.6400000000003</v>
      </c>
      <c r="E185" s="274">
        <v>0.1046</v>
      </c>
      <c r="F185" s="282">
        <v>4600</v>
      </c>
      <c r="G185" s="274">
        <f t="shared" si="64"/>
        <v>6.293499459289581E-2</v>
      </c>
      <c r="H185" s="275">
        <v>1</v>
      </c>
      <c r="I185" s="276">
        <v>1.0724</v>
      </c>
      <c r="J185" s="283"/>
      <c r="K185" s="276">
        <f t="shared" si="70"/>
        <v>3.0732339726027396E-4</v>
      </c>
      <c r="L185" s="283">
        <f t="shared" si="71"/>
        <v>1.3299850269194522</v>
      </c>
      <c r="M185" s="274">
        <f t="shared" si="72"/>
        <v>2.8657534246575341E-4</v>
      </c>
      <c r="N185" s="285">
        <v>45940</v>
      </c>
      <c r="O185" s="275">
        <f t="shared" ca="1" si="73"/>
        <v>0</v>
      </c>
      <c r="P185" s="293" t="str">
        <f t="shared" si="69"/>
        <v>NÃO</v>
      </c>
    </row>
    <row r="186" spans="1:16" ht="15.75" hidden="1" customHeight="1" outlineLevel="1" x14ac:dyDescent="0.2">
      <c r="A186" s="275" t="s">
        <v>161</v>
      </c>
      <c r="B186" s="275" t="s">
        <v>67</v>
      </c>
      <c r="C186" s="273">
        <v>4369.1899999999996</v>
      </c>
      <c r="D186" s="273">
        <v>4326.99</v>
      </c>
      <c r="E186" s="274">
        <v>0.1031</v>
      </c>
      <c r="F186" s="282">
        <v>4600</v>
      </c>
      <c r="G186" s="274">
        <f t="shared" si="64"/>
        <v>6.3094668580237129E-2</v>
      </c>
      <c r="H186" s="275">
        <v>3</v>
      </c>
      <c r="I186" s="276">
        <v>1.0726</v>
      </c>
      <c r="J186" s="283"/>
      <c r="K186" s="276">
        <f t="shared" si="70"/>
        <v>9.0891830136986308E-4</v>
      </c>
      <c r="L186" s="283">
        <f t="shared" si="71"/>
        <v>3.9328804008443838</v>
      </c>
      <c r="M186" s="274">
        <f t="shared" si="72"/>
        <v>8.4739726027397268E-4</v>
      </c>
      <c r="N186" s="285">
        <v>45943</v>
      </c>
      <c r="O186" s="275">
        <f t="shared" ca="1" si="73"/>
        <v>0</v>
      </c>
      <c r="P186" s="293" t="str">
        <f t="shared" si="69"/>
        <v>NÃO</v>
      </c>
    </row>
    <row r="187" spans="1:16" ht="15.75" hidden="1" customHeight="1" outlineLevel="1" x14ac:dyDescent="0.2">
      <c r="A187" s="275" t="s">
        <v>161</v>
      </c>
      <c r="B187" s="275" t="s">
        <v>67</v>
      </c>
      <c r="C187" s="273">
        <v>3994.07</v>
      </c>
      <c r="D187" s="273">
        <v>4141</v>
      </c>
      <c r="E187" s="274">
        <v>7.2099999999999997E-2</v>
      </c>
      <c r="F187" s="282">
        <v>4600</v>
      </c>
      <c r="G187" s="274">
        <f t="shared" si="64"/>
        <v>0.1108427915962328</v>
      </c>
      <c r="H187" s="275">
        <v>2</v>
      </c>
      <c r="I187" s="276">
        <v>1.0733999999999999</v>
      </c>
      <c r="J187" s="283"/>
      <c r="K187" s="276">
        <f t="shared" si="70"/>
        <v>4.240665205479452E-4</v>
      </c>
      <c r="L187" s="283">
        <f t="shared" si="71"/>
        <v>1.756059461589041</v>
      </c>
      <c r="M187" s="274">
        <f t="shared" si="72"/>
        <v>3.9506849315068494E-4</v>
      </c>
      <c r="N187" s="285">
        <v>45946</v>
      </c>
      <c r="O187" s="275">
        <f t="shared" ca="1" si="73"/>
        <v>0</v>
      </c>
      <c r="P187" s="293" t="str">
        <f t="shared" si="69"/>
        <v>NÃO</v>
      </c>
    </row>
    <row r="188" spans="1:16" ht="15.75" hidden="1" customHeight="1" outlineLevel="1" x14ac:dyDescent="0.2">
      <c r="A188" s="275" t="s">
        <v>161</v>
      </c>
      <c r="B188" s="275" t="s">
        <v>67</v>
      </c>
      <c r="C188" s="273">
        <v>3829.84</v>
      </c>
      <c r="D188" s="273">
        <v>4047.64</v>
      </c>
      <c r="E188" s="274">
        <v>0.05</v>
      </c>
      <c r="F188" s="282">
        <v>4600</v>
      </c>
      <c r="G188" s="274">
        <f t="shared" si="64"/>
        <v>0.13646470535917229</v>
      </c>
      <c r="H188" s="275">
        <v>4</v>
      </c>
      <c r="I188" s="276">
        <v>1.0738000000000001</v>
      </c>
      <c r="J188" s="283"/>
      <c r="K188" s="276">
        <f t="shared" si="70"/>
        <v>5.8838356164383576E-4</v>
      </c>
      <c r="L188" s="283">
        <f t="shared" si="71"/>
        <v>2.3815648394520554</v>
      </c>
      <c r="M188" s="274">
        <f t="shared" si="72"/>
        <v>5.4794520547945212E-4</v>
      </c>
      <c r="N188" s="285">
        <v>45950</v>
      </c>
      <c r="O188" s="275">
        <f t="shared" ca="1" si="73"/>
        <v>0</v>
      </c>
      <c r="P188" s="293" t="str">
        <f t="shared" si="69"/>
        <v>NÃO</v>
      </c>
    </row>
    <row r="189" spans="1:16" ht="15.75" hidden="1" customHeight="1" outlineLevel="1" x14ac:dyDescent="0.2">
      <c r="A189" s="275" t="s">
        <v>161</v>
      </c>
      <c r="B189" s="275" t="s">
        <v>67</v>
      </c>
      <c r="C189" s="273">
        <v>3957.54</v>
      </c>
      <c r="D189" s="273">
        <v>4099.1499999999996</v>
      </c>
      <c r="E189" s="274">
        <v>7.1800000000000003E-2</v>
      </c>
      <c r="F189" s="282">
        <v>4600</v>
      </c>
      <c r="G189" s="274">
        <f t="shared" si="64"/>
        <v>0.12218386738714133</v>
      </c>
      <c r="H189" s="275">
        <v>3</v>
      </c>
      <c r="I189" s="276">
        <v>1.0743</v>
      </c>
      <c r="J189" s="283"/>
      <c r="K189" s="276">
        <f>IF(I189&gt;0,(E189/365)*H189*I189,"")</f>
        <v>6.3398416438356165E-4</v>
      </c>
      <c r="L189" s="283">
        <f>IF(OR(N(J189)&gt;0, N(K189)&gt;0), (E189/365)*H189*N(J189) + N(K189)*D189, "")</f>
        <v>2.5987961874328764</v>
      </c>
      <c r="M189" s="274">
        <f>IF(J189&gt;0,L189/J189,IF(I189&gt;0,(K189/I189),""))</f>
        <v>5.901369863013699E-4</v>
      </c>
      <c r="N189" s="285">
        <v>45954</v>
      </c>
      <c r="O189" s="275">
        <f ca="1">IF(N189&lt;&gt;"",IF(N189-TODAY()&lt;1,0,N189-TODAY()),"")</f>
        <v>0</v>
      </c>
      <c r="P189" s="293" t="str">
        <f t="shared" si="69"/>
        <v>NÃO</v>
      </c>
    </row>
    <row r="190" spans="1:16" ht="15.75" hidden="1" customHeight="1" outlineLevel="1" x14ac:dyDescent="0.2">
      <c r="A190" s="275" t="s">
        <v>161</v>
      </c>
      <c r="B190" s="275" t="s">
        <v>67</v>
      </c>
      <c r="C190" s="273">
        <v>3998.18</v>
      </c>
      <c r="D190" s="273">
        <v>4022.37</v>
      </c>
      <c r="E190" s="274">
        <v>6.3399999999999998E-2</v>
      </c>
      <c r="F190" s="282">
        <v>4600</v>
      </c>
      <c r="G190" s="274">
        <f t="shared" si="64"/>
        <v>0.14360439243530559</v>
      </c>
      <c r="H190" s="275">
        <v>2</v>
      </c>
      <c r="I190" s="276">
        <v>1.0748</v>
      </c>
      <c r="J190" s="283"/>
      <c r="K190" s="276">
        <f>IF(I190&gt;0,(E190/365)*H190*I190,"")</f>
        <v>3.7338257534246574E-4</v>
      </c>
      <c r="L190" s="283">
        <f>IF(OR(N(J190)&gt;0, N(K190)&gt;0), (E190/365)*H190*N(J190) + N(K190)*D190, "")</f>
        <v>1.5018828695802739</v>
      </c>
      <c r="M190" s="274">
        <f>IF(J190&gt;0,L190/J190,IF(I190&gt;0,(K190/I190),""))</f>
        <v>3.4739726027397262E-4</v>
      </c>
      <c r="N190" s="285">
        <v>45959</v>
      </c>
      <c r="O190" s="275">
        <f ca="1">IF(N190&lt;&gt;"",IF(N190-TODAY()&lt;1,0,N190-TODAY()),"")</f>
        <v>0</v>
      </c>
      <c r="P190" s="293" t="str">
        <f t="shared" si="69"/>
        <v>NÃO</v>
      </c>
    </row>
    <row r="191" spans="1:16" ht="15.75" hidden="1" customHeight="1" outlineLevel="1" x14ac:dyDescent="0.2">
      <c r="A191" s="275" t="s">
        <v>161</v>
      </c>
      <c r="B191" s="275" t="s">
        <v>67</v>
      </c>
      <c r="C191" s="273">
        <v>3718.91</v>
      </c>
      <c r="D191" s="273">
        <v>3830.43</v>
      </c>
      <c r="E191" s="274">
        <v>4.36E-2</v>
      </c>
      <c r="F191" s="282">
        <v>4600</v>
      </c>
      <c r="G191" s="274">
        <f t="shared" si="64"/>
        <v>0.20090955845688349</v>
      </c>
      <c r="H191" s="275">
        <v>2</v>
      </c>
      <c r="I191" s="276">
        <v>1.0751999999999999</v>
      </c>
      <c r="J191" s="283"/>
      <c r="K191" s="276">
        <f>IF(I191&gt;0,(E191/365)*H191*I191,"")</f>
        <v>2.5686969863013699E-4</v>
      </c>
      <c r="L191" s="283">
        <f>IF(OR(N(J191)&gt;0, N(K191)&gt;0), (E191/365)*H191*N(J191) + N(K191)*D191, "")</f>
        <v>0.98392139972383563</v>
      </c>
      <c r="M191" s="274">
        <f>IF(J191&gt;0,L191/J191,IF(I191&gt;0,(K191/I191),""))</f>
        <v>2.3890410958904112E-4</v>
      </c>
      <c r="N191" s="285">
        <v>45961</v>
      </c>
      <c r="O191" s="275">
        <f ca="1">IF(N191&lt;&gt;"",IF(N191-TODAY()&lt;1,0,N191-TODAY()),"")</f>
        <v>0</v>
      </c>
      <c r="P191" s="293" t="str">
        <f t="shared" si="69"/>
        <v>NÃO</v>
      </c>
    </row>
    <row r="192" spans="1:16" ht="15.75" hidden="1" customHeight="1" outlineLevel="1" x14ac:dyDescent="0.2">
      <c r="A192" s="262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</row>
    <row r="193" spans="1:18" ht="15.75" customHeight="1" collapsed="1" x14ac:dyDescent="0.2">
      <c r="A193" s="262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79"/>
      <c r="M193" s="262"/>
      <c r="N193" s="262"/>
      <c r="O193" s="262"/>
      <c r="P193" s="262"/>
      <c r="Q193" s="262"/>
    </row>
    <row r="194" spans="1:18" ht="15.75" customHeight="1" x14ac:dyDescent="0.25">
      <c r="A194" s="376">
        <v>45901</v>
      </c>
      <c r="B194" s="377"/>
      <c r="C194" s="377"/>
      <c r="D194" s="377"/>
      <c r="E194" s="377"/>
      <c r="F194" s="377"/>
      <c r="G194" s="377"/>
      <c r="H194" s="377"/>
      <c r="I194" s="378"/>
      <c r="J194" s="271" t="s">
        <v>156</v>
      </c>
      <c r="K194" s="269">
        <f>SUM(K196:K220)</f>
        <v>1.3084759763726027E-3</v>
      </c>
      <c r="L194" s="287">
        <f>SUM(L196:L220)</f>
        <v>165.21910399924974</v>
      </c>
      <c r="M194" s="272">
        <f>SUM(M196:M220)</f>
        <v>7.4039452054794494E-2</v>
      </c>
      <c r="N194" s="384"/>
      <c r="O194" s="385"/>
      <c r="P194" s="386"/>
    </row>
    <row r="195" spans="1:18" ht="15.75" hidden="1" customHeight="1" outlineLevel="1" x14ac:dyDescent="0.25">
      <c r="A195" s="102" t="s">
        <v>96</v>
      </c>
      <c r="B195" s="102" t="s">
        <v>38</v>
      </c>
      <c r="C195" s="102" t="s">
        <v>97</v>
      </c>
      <c r="D195" s="102" t="s">
        <v>167</v>
      </c>
      <c r="E195" s="102" t="s">
        <v>168</v>
      </c>
      <c r="F195" s="102" t="s">
        <v>41</v>
      </c>
      <c r="G195" s="102" t="s">
        <v>42</v>
      </c>
      <c r="H195" s="103" t="s">
        <v>169</v>
      </c>
      <c r="I195" s="277" t="s">
        <v>165</v>
      </c>
      <c r="J195" s="278" t="s">
        <v>166</v>
      </c>
      <c r="K195" s="382" t="s">
        <v>164</v>
      </c>
      <c r="L195" s="383"/>
      <c r="M195" s="102" t="s">
        <v>2</v>
      </c>
      <c r="N195" s="103" t="s">
        <v>155</v>
      </c>
      <c r="O195" s="103" t="s">
        <v>170</v>
      </c>
      <c r="P195" s="103" t="s">
        <v>58</v>
      </c>
    </row>
    <row r="196" spans="1:18" ht="15.75" hidden="1" customHeight="1" outlineLevel="1" x14ac:dyDescent="0.2">
      <c r="A196" s="275" t="s">
        <v>154</v>
      </c>
      <c r="B196" s="275" t="s">
        <v>67</v>
      </c>
      <c r="C196" s="273">
        <v>110908.58</v>
      </c>
      <c r="D196" s="273">
        <v>110423.14</v>
      </c>
      <c r="E196" s="274">
        <v>4.9700000000000001E-2</v>
      </c>
      <c r="F196" s="282">
        <v>115000</v>
      </c>
      <c r="G196" s="274">
        <f>IF(A196&lt;&gt;"",IF(D196&gt;0,ABS(D196-F196)/D196,0),0)</f>
        <v>4.1448377577380978E-2</v>
      </c>
      <c r="H196" s="275">
        <v>3</v>
      </c>
      <c r="I196" s="276">
        <v>1.6330000000000001E-2</v>
      </c>
      <c r="J196" s="283"/>
      <c r="K196" s="276">
        <f>(E196/365)*H196*I196</f>
        <v>6.6706931506849323E-6</v>
      </c>
      <c r="L196" s="283">
        <f>IF(OR(N(J196)&gt;0, N(K196)&gt;0), (E196/365)*H196*N(J196) + N(K196)*D196, "")</f>
        <v>0.73659888367512338</v>
      </c>
      <c r="M196" s="274">
        <f>IF(J196&gt;0,L196/J196,IF(K196&gt;0,(K196/I196),0))</f>
        <v>4.0849315068493155E-4</v>
      </c>
      <c r="N196" s="285">
        <v>45904</v>
      </c>
      <c r="O196" s="275">
        <f t="shared" ref="O196:O211" ca="1" si="74">IF(N196&lt;&gt;"",IF(N196-TODAY()&lt;1,0,N196-TODAY()),"")</f>
        <v>0</v>
      </c>
      <c r="P196" s="289" t="str">
        <f t="shared" ref="P196:P219" si="75">IF(A196&lt;&gt;"",IF(B196="CALL",(IF(C196&gt;=F196,"SIM","NÃO")),IF(B196="PUT",(IF(C196&lt;F196,"SIM","NÃO")),"FECHADO")),"")</f>
        <v>NÃO</v>
      </c>
    </row>
    <row r="197" spans="1:18" ht="15.75" hidden="1" customHeight="1" outlineLevel="1" x14ac:dyDescent="0.2">
      <c r="A197" s="275" t="s">
        <v>161</v>
      </c>
      <c r="B197" s="275" t="s">
        <v>50</v>
      </c>
      <c r="C197" s="273">
        <v>4309.16</v>
      </c>
      <c r="D197" s="273">
        <v>4400</v>
      </c>
      <c r="E197" s="274">
        <v>1.1012</v>
      </c>
      <c r="F197" s="282">
        <v>4300</v>
      </c>
      <c r="G197" s="274">
        <f>IF(A197&lt;&gt;"",IF(D197&gt;0,ABS(D197-F197)/D197,0),0)</f>
        <v>2.2727272727272728E-2</v>
      </c>
      <c r="H197" s="275">
        <v>2</v>
      </c>
      <c r="I197" s="276"/>
      <c r="J197" s="283">
        <v>1490</v>
      </c>
      <c r="K197" s="276" t="str">
        <f t="shared" ref="K197:K211" si="76">IF(I197&gt;0,(E197/365)*H197*I197,"")</f>
        <v/>
      </c>
      <c r="L197" s="283">
        <f>IF(OR(N(J197)&gt;0, N(K197)&gt;0), (E197/365)*H197*N(J197) + N(K197)*D197, "")</f>
        <v>8.9906191780821914</v>
      </c>
      <c r="M197" s="274">
        <f>IF(J197&gt;0,L197/J197,IF(K197&gt;0,(K197/I197),0))</f>
        <v>6.0339726027397256E-3</v>
      </c>
      <c r="N197" s="285">
        <v>45903</v>
      </c>
      <c r="O197" s="275">
        <f t="shared" ca="1" si="74"/>
        <v>0</v>
      </c>
      <c r="P197" s="289" t="str">
        <f t="shared" si="75"/>
        <v>NÃO</v>
      </c>
    </row>
    <row r="198" spans="1:18" ht="15.75" hidden="1" customHeight="1" outlineLevel="1" x14ac:dyDescent="0.2">
      <c r="A198" s="275" t="s">
        <v>161</v>
      </c>
      <c r="B198" s="275" t="s">
        <v>50</v>
      </c>
      <c r="C198" s="273">
        <v>4402.84</v>
      </c>
      <c r="D198" s="273">
        <v>4399</v>
      </c>
      <c r="E198" s="274">
        <v>1.3462000000000001</v>
      </c>
      <c r="F198" s="282">
        <v>4275</v>
      </c>
      <c r="G198" s="274">
        <f>IF(A198&lt;&gt;"",IF(D198&gt;0,ABS(D198-F198)/D198,0),0)</f>
        <v>2.8188224596499206E-2</v>
      </c>
      <c r="H198" s="275">
        <v>2</v>
      </c>
      <c r="I198" s="276"/>
      <c r="J198" s="283">
        <v>1500</v>
      </c>
      <c r="K198" s="276" t="str">
        <f t="shared" si="76"/>
        <v/>
      </c>
      <c r="L198" s="283">
        <f>IF(OR(N(J198)&gt;0, N(K198)&gt;0), (E198/365)*H198*N(J198) + N(K198)*D198, "")</f>
        <v>11.064657534246574</v>
      </c>
      <c r="M198" s="274">
        <f>IF(J198&gt;0,L198/J198,IF(K198&gt;0,(K198/I198),0))</f>
        <v>7.3764383561643826E-3</v>
      </c>
      <c r="N198" s="285">
        <v>45905</v>
      </c>
      <c r="O198" s="275">
        <f t="shared" ca="1" si="74"/>
        <v>0</v>
      </c>
      <c r="P198" s="289" t="str">
        <f t="shared" si="75"/>
        <v>NÃO</v>
      </c>
      <c r="R198" s="261"/>
    </row>
    <row r="199" spans="1:18" ht="15.75" hidden="1" customHeight="1" outlineLevel="1" x14ac:dyDescent="0.2">
      <c r="A199" s="275" t="s">
        <v>154</v>
      </c>
      <c r="B199" s="275" t="s">
        <v>67</v>
      </c>
      <c r="C199" s="273">
        <v>111336.2</v>
      </c>
      <c r="D199" s="273">
        <v>110956</v>
      </c>
      <c r="E199" s="274">
        <v>0.17399999999999999</v>
      </c>
      <c r="F199" s="282">
        <v>115000</v>
      </c>
      <c r="G199" s="274">
        <f t="shared" ref="G199:G219" si="77">IF(A199&lt;&gt;"",IF(D199&gt;0,ABS(D199-F199)/D199,0),"")</f>
        <v>3.6446879844262592E-2</v>
      </c>
      <c r="H199" s="275">
        <v>4</v>
      </c>
      <c r="I199" s="276">
        <v>1.634E-2</v>
      </c>
      <c r="J199" s="283"/>
      <c r="K199" s="276">
        <f t="shared" si="76"/>
        <v>3.1157917808219175E-5</v>
      </c>
      <c r="L199" s="283">
        <f>IF(OR(N(J199)&gt;0, N(K199)&gt;0), (E199/365)*H199*N(J199) + N(K199)*D199, "")</f>
        <v>3.4571579283287668</v>
      </c>
      <c r="M199" s="274">
        <f t="shared" ref="M199:M211" si="78">IF(J199&gt;0,L199/J199,IF(I199&gt;0,(K199/I199),""))</f>
        <v>1.906849315068493E-3</v>
      </c>
      <c r="N199" s="285">
        <v>45908</v>
      </c>
      <c r="O199" s="275">
        <f t="shared" ca="1" si="74"/>
        <v>0</v>
      </c>
      <c r="P199" s="289" t="str">
        <f t="shared" si="75"/>
        <v>NÃO</v>
      </c>
    </row>
    <row r="200" spans="1:18" ht="15.75" hidden="1" customHeight="1" outlineLevel="1" x14ac:dyDescent="0.2">
      <c r="A200" s="275" t="s">
        <v>161</v>
      </c>
      <c r="B200" s="275" t="s">
        <v>50</v>
      </c>
      <c r="C200" s="273">
        <v>4326.21</v>
      </c>
      <c r="D200" s="273">
        <v>4405.6499999999996</v>
      </c>
      <c r="E200" s="274">
        <v>0.92259999999999998</v>
      </c>
      <c r="F200" s="282">
        <v>4275</v>
      </c>
      <c r="G200" s="274">
        <f t="shared" si="77"/>
        <v>2.9655101971332188E-2</v>
      </c>
      <c r="H200" s="275">
        <v>3</v>
      </c>
      <c r="I200" s="276"/>
      <c r="J200" s="283">
        <v>1500</v>
      </c>
      <c r="K200" s="276" t="str">
        <f t="shared" si="76"/>
        <v/>
      </c>
      <c r="L200" s="283">
        <f>IF(OR(N(J200)&gt;0, N(K200)&gt;0), (E200/365)*H200*N(J200) + N(K200)*D200, "")</f>
        <v>11.374520547945206</v>
      </c>
      <c r="M200" s="274">
        <f t="shared" si="78"/>
        <v>7.5830136986301377E-3</v>
      </c>
      <c r="N200" s="285">
        <v>45908</v>
      </c>
      <c r="O200" s="275">
        <f t="shared" ca="1" si="74"/>
        <v>0</v>
      </c>
      <c r="P200" s="289" t="str">
        <f t="shared" si="75"/>
        <v>NÃO</v>
      </c>
    </row>
    <row r="201" spans="1:18" ht="15.75" hidden="1" customHeight="1" outlineLevel="1" x14ac:dyDescent="0.2">
      <c r="A201" s="275" t="s">
        <v>154</v>
      </c>
      <c r="B201" s="275" t="s">
        <v>67</v>
      </c>
      <c r="C201" s="273">
        <v>112397.14</v>
      </c>
      <c r="D201" s="273">
        <v>112127.03999999999</v>
      </c>
      <c r="E201" s="274">
        <v>0.1699</v>
      </c>
      <c r="F201" s="282">
        <v>115000</v>
      </c>
      <c r="G201" s="274">
        <f t="shared" si="77"/>
        <v>2.5622365488289056E-2</v>
      </c>
      <c r="H201" s="275">
        <v>2</v>
      </c>
      <c r="I201" s="276">
        <v>1.6369999999999999E-2</v>
      </c>
      <c r="J201" s="283"/>
      <c r="K201" s="276">
        <f t="shared" si="76"/>
        <v>1.5239797260273971E-5</v>
      </c>
      <c r="L201" s="283">
        <f t="shared" ref="L201:L211" si="79">IF(OR(N(J201)&gt;0, N(K201)&gt;0), (E201/365)*H201*N(J201) + N(K201)*D201, "")</f>
        <v>1.7087933569946299</v>
      </c>
      <c r="M201" s="274">
        <f t="shared" si="78"/>
        <v>9.3095890410958902E-4</v>
      </c>
      <c r="N201" s="285">
        <v>45910</v>
      </c>
      <c r="O201" s="275">
        <f t="shared" ca="1" si="74"/>
        <v>0</v>
      </c>
      <c r="P201" s="289" t="str">
        <f t="shared" si="75"/>
        <v>NÃO</v>
      </c>
    </row>
    <row r="202" spans="1:18" ht="15.75" hidden="1" customHeight="1" outlineLevel="1" x14ac:dyDescent="0.2">
      <c r="A202" s="275" t="s">
        <v>161</v>
      </c>
      <c r="B202" s="275" t="s">
        <v>50</v>
      </c>
      <c r="C202" s="273">
        <v>4356.5200000000004</v>
      </c>
      <c r="D202" s="273">
        <v>4331.3999999999996</v>
      </c>
      <c r="E202" s="274">
        <v>1.462</v>
      </c>
      <c r="F202" s="282">
        <v>4275</v>
      </c>
      <c r="G202" s="274">
        <f t="shared" si="77"/>
        <v>1.3021194071200915E-2</v>
      </c>
      <c r="H202" s="275">
        <v>1</v>
      </c>
      <c r="I202" s="276"/>
      <c r="J202" s="283">
        <v>1520</v>
      </c>
      <c r="K202" s="276" t="str">
        <f t="shared" si="76"/>
        <v/>
      </c>
      <c r="L202" s="283">
        <f t="shared" si="79"/>
        <v>6.0883287671232882</v>
      </c>
      <c r="M202" s="274">
        <f t="shared" si="78"/>
        <v>4.0054794520547948E-3</v>
      </c>
      <c r="N202" s="285">
        <v>45909</v>
      </c>
      <c r="O202" s="275">
        <f t="shared" ca="1" si="74"/>
        <v>0</v>
      </c>
      <c r="P202" s="289" t="str">
        <f t="shared" si="75"/>
        <v>NÃO</v>
      </c>
    </row>
    <row r="203" spans="1:18" ht="15.75" hidden="1" customHeight="1" outlineLevel="1" x14ac:dyDescent="0.2">
      <c r="A203" s="275" t="s">
        <v>161</v>
      </c>
      <c r="B203" s="275" t="s">
        <v>50</v>
      </c>
      <c r="C203" s="273">
        <v>4297.1099999999997</v>
      </c>
      <c r="D203" s="273">
        <v>4333.8999999999996</v>
      </c>
      <c r="E203" s="274">
        <v>0.65259999999999996</v>
      </c>
      <c r="F203" s="282">
        <v>4250</v>
      </c>
      <c r="G203" s="274">
        <f t="shared" si="77"/>
        <v>1.9359006899097728E-2</v>
      </c>
      <c r="H203" s="275">
        <v>1</v>
      </c>
      <c r="I203" s="276"/>
      <c r="J203" s="283">
        <v>1520</v>
      </c>
      <c r="K203" s="276" t="str">
        <f t="shared" si="76"/>
        <v/>
      </c>
      <c r="L203" s="283">
        <f t="shared" si="79"/>
        <v>2.7176767123287671</v>
      </c>
      <c r="M203" s="274">
        <f t="shared" si="78"/>
        <v>1.787945205479452E-3</v>
      </c>
      <c r="N203" s="285">
        <v>45910</v>
      </c>
      <c r="O203" s="275">
        <f t="shared" ca="1" si="74"/>
        <v>0</v>
      </c>
      <c r="P203" s="289" t="str">
        <f t="shared" si="75"/>
        <v>NÃO</v>
      </c>
    </row>
    <row r="204" spans="1:18" ht="15.75" hidden="1" customHeight="1" outlineLevel="1" x14ac:dyDescent="0.2">
      <c r="A204" s="275" t="s">
        <v>154</v>
      </c>
      <c r="B204" s="275" t="s">
        <v>67</v>
      </c>
      <c r="C204" s="273">
        <v>114840.92</v>
      </c>
      <c r="D204" s="273">
        <v>112394.19</v>
      </c>
      <c r="E204" s="274">
        <v>0.29449999999999998</v>
      </c>
      <c r="F204" s="282">
        <v>115000</v>
      </c>
      <c r="G204" s="274">
        <f t="shared" si="77"/>
        <v>2.3184561408378827E-2</v>
      </c>
      <c r="H204" s="275">
        <v>2</v>
      </c>
      <c r="I204" s="276">
        <v>1.6389999999999998E-2</v>
      </c>
      <c r="J204" s="283"/>
      <c r="K204" s="276">
        <f t="shared" si="76"/>
        <v>2.6448520547945201E-5</v>
      </c>
      <c r="L204" s="283">
        <f t="shared" si="79"/>
        <v>2.9726600436846571</v>
      </c>
      <c r="M204" s="274">
        <f t="shared" si="78"/>
        <v>1.6136986301369862E-3</v>
      </c>
      <c r="N204" s="285">
        <v>45912</v>
      </c>
      <c r="O204" s="275">
        <f t="shared" ca="1" si="74"/>
        <v>0</v>
      </c>
      <c r="P204" s="289" t="str">
        <f t="shared" si="75"/>
        <v>NÃO</v>
      </c>
    </row>
    <row r="205" spans="1:18" ht="15.75" hidden="1" customHeight="1" outlineLevel="1" x14ac:dyDescent="0.2">
      <c r="A205" s="275" t="s">
        <v>161</v>
      </c>
      <c r="B205" s="275" t="s">
        <v>50</v>
      </c>
      <c r="C205" s="273">
        <v>4415.3599999999997</v>
      </c>
      <c r="D205" s="273">
        <v>4505.08</v>
      </c>
      <c r="E205" s="274">
        <v>1.5264</v>
      </c>
      <c r="F205" s="282">
        <v>4275</v>
      </c>
      <c r="G205" s="274">
        <f t="shared" si="77"/>
        <v>5.1071235138998625E-2</v>
      </c>
      <c r="H205" s="275">
        <v>2</v>
      </c>
      <c r="I205" s="276"/>
      <c r="J205" s="283">
        <v>1520</v>
      </c>
      <c r="K205" s="276" t="str">
        <f t="shared" si="76"/>
        <v/>
      </c>
      <c r="L205" s="283">
        <f t="shared" si="79"/>
        <v>12.713030136986299</v>
      </c>
      <c r="M205" s="274">
        <f t="shared" si="78"/>
        <v>8.3638356164383552E-3</v>
      </c>
      <c r="N205" s="285">
        <v>45912</v>
      </c>
      <c r="O205" s="275">
        <f t="shared" ca="1" si="74"/>
        <v>0</v>
      </c>
      <c r="P205" s="289" t="str">
        <f t="shared" si="75"/>
        <v>NÃO</v>
      </c>
    </row>
    <row r="206" spans="1:18" ht="15.75" hidden="1" customHeight="1" outlineLevel="1" x14ac:dyDescent="0.2">
      <c r="A206" s="275" t="s">
        <v>161</v>
      </c>
      <c r="B206" s="275" t="s">
        <v>50</v>
      </c>
      <c r="C206" s="273">
        <v>4529</v>
      </c>
      <c r="D206" s="273">
        <v>4606.08</v>
      </c>
      <c r="E206" s="274">
        <v>0.51739999999999997</v>
      </c>
      <c r="F206" s="282">
        <v>4425</v>
      </c>
      <c r="G206" s="274">
        <f t="shared" si="77"/>
        <v>3.9313255523134624E-2</v>
      </c>
      <c r="H206" s="275">
        <v>3</v>
      </c>
      <c r="I206" s="276"/>
      <c r="J206" s="283">
        <v>3443.6</v>
      </c>
      <c r="K206" s="276" t="str">
        <f t="shared" si="76"/>
        <v/>
      </c>
      <c r="L206" s="283">
        <f t="shared" si="79"/>
        <v>14.644262794520547</v>
      </c>
      <c r="M206" s="274">
        <f t="shared" si="78"/>
        <v>4.2526027397260273E-3</v>
      </c>
      <c r="N206" s="285">
        <v>45915</v>
      </c>
      <c r="O206" s="275">
        <f t="shared" ca="1" si="74"/>
        <v>0</v>
      </c>
      <c r="P206" s="289" t="str">
        <f t="shared" si="75"/>
        <v>NÃO</v>
      </c>
    </row>
    <row r="207" spans="1:18" ht="15.75" hidden="1" customHeight="1" outlineLevel="1" x14ac:dyDescent="0.2">
      <c r="A207" s="275" t="s">
        <v>161</v>
      </c>
      <c r="B207" s="275" t="s">
        <v>50</v>
      </c>
      <c r="C207" s="273">
        <v>4494.57</v>
      </c>
      <c r="D207" s="273">
        <v>4510</v>
      </c>
      <c r="E207" s="274">
        <v>0.76319999999999999</v>
      </c>
      <c r="F207" s="282">
        <v>4450</v>
      </c>
      <c r="G207" s="274">
        <f t="shared" si="77"/>
        <v>1.3303769401330377E-2</v>
      </c>
      <c r="H207" s="275">
        <v>1</v>
      </c>
      <c r="I207" s="276"/>
      <c r="J207" s="283">
        <v>3450</v>
      </c>
      <c r="K207" s="276" t="str">
        <f t="shared" si="76"/>
        <v/>
      </c>
      <c r="L207" s="283">
        <f t="shared" si="79"/>
        <v>7.2138082191780812</v>
      </c>
      <c r="M207" s="274">
        <f t="shared" si="78"/>
        <v>2.0909589041095888E-3</v>
      </c>
      <c r="N207" s="285">
        <v>45916</v>
      </c>
      <c r="O207" s="275">
        <f t="shared" ca="1" si="74"/>
        <v>0</v>
      </c>
      <c r="P207" s="289" t="str">
        <f t="shared" si="75"/>
        <v>NÃO</v>
      </c>
    </row>
    <row r="208" spans="1:18" ht="15.75" hidden="1" customHeight="1" outlineLevel="1" x14ac:dyDescent="0.2">
      <c r="A208" s="275" t="s">
        <v>154</v>
      </c>
      <c r="B208" s="275" t="s">
        <v>67</v>
      </c>
      <c r="C208" s="273">
        <v>116478.67</v>
      </c>
      <c r="D208" s="273">
        <v>117206.3</v>
      </c>
      <c r="E208" s="274">
        <v>0.38529999999999998</v>
      </c>
      <c r="F208" s="282">
        <v>116000</v>
      </c>
      <c r="G208" s="274">
        <f t="shared" si="77"/>
        <v>1.0292108871280835E-2</v>
      </c>
      <c r="H208" s="275">
        <v>2</v>
      </c>
      <c r="I208" s="276">
        <v>1.119E-2</v>
      </c>
      <c r="J208" s="283"/>
      <c r="K208" s="276">
        <f t="shared" si="76"/>
        <v>2.3624695890410959E-5</v>
      </c>
      <c r="L208" s="283">
        <f t="shared" si="79"/>
        <v>2.7689631939402739</v>
      </c>
      <c r="M208" s="274">
        <f t="shared" si="78"/>
        <v>2.1112328767123288E-3</v>
      </c>
      <c r="N208" s="285">
        <v>45917</v>
      </c>
      <c r="O208" s="275">
        <f t="shared" ca="1" si="74"/>
        <v>0</v>
      </c>
      <c r="P208" s="290" t="str">
        <f t="shared" si="75"/>
        <v>SIM</v>
      </c>
    </row>
    <row r="209" spans="1:88" ht="15.75" hidden="1" customHeight="1" outlineLevel="1" x14ac:dyDescent="0.2">
      <c r="A209" s="275" t="s">
        <v>161</v>
      </c>
      <c r="B209" s="275" t="s">
        <v>50</v>
      </c>
      <c r="C209" s="273">
        <v>4480</v>
      </c>
      <c r="D209" s="273">
        <v>4543</v>
      </c>
      <c r="E209" s="274">
        <v>1.2915000000000001</v>
      </c>
      <c r="F209" s="282">
        <v>4475</v>
      </c>
      <c r="G209" s="274">
        <f t="shared" si="77"/>
        <v>1.4968082764692935E-2</v>
      </c>
      <c r="H209" s="275">
        <v>1</v>
      </c>
      <c r="I209" s="276"/>
      <c r="J209" s="283">
        <v>3465</v>
      </c>
      <c r="K209" s="276" t="str">
        <f t="shared" si="76"/>
        <v/>
      </c>
      <c r="L209" s="283">
        <f t="shared" si="79"/>
        <v>12.260404109589041</v>
      </c>
      <c r="M209" s="274">
        <f t="shared" si="78"/>
        <v>3.5383561643835618E-3</v>
      </c>
      <c r="N209" s="285">
        <v>45917</v>
      </c>
      <c r="O209" s="275">
        <f t="shared" ca="1" si="74"/>
        <v>0</v>
      </c>
      <c r="P209" s="289" t="str">
        <f t="shared" si="75"/>
        <v>NÃO</v>
      </c>
    </row>
    <row r="210" spans="1:88" ht="15.75" hidden="1" customHeight="1" outlineLevel="1" x14ac:dyDescent="0.2">
      <c r="A210" s="275" t="s">
        <v>161</v>
      </c>
      <c r="B210" s="275" t="s">
        <v>50</v>
      </c>
      <c r="C210" s="273">
        <v>4528.21</v>
      </c>
      <c r="D210" s="273">
        <v>4578.07</v>
      </c>
      <c r="E210" s="274">
        <v>2.2242999999999999</v>
      </c>
      <c r="F210" s="282">
        <v>4425</v>
      </c>
      <c r="G210" s="274">
        <f t="shared" si="77"/>
        <v>3.343548700653326E-2</v>
      </c>
      <c r="H210" s="275">
        <v>1</v>
      </c>
      <c r="I210" s="276"/>
      <c r="J210" s="283">
        <v>3470</v>
      </c>
      <c r="K210" s="276" t="str">
        <f t="shared" si="76"/>
        <v/>
      </c>
      <c r="L210" s="283">
        <f t="shared" si="79"/>
        <v>21.146084931506849</v>
      </c>
      <c r="M210" s="274">
        <f t="shared" si="78"/>
        <v>6.0939726027397258E-3</v>
      </c>
      <c r="N210" s="285">
        <v>45918</v>
      </c>
      <c r="O210" s="275">
        <f t="shared" ca="1" si="74"/>
        <v>0</v>
      </c>
      <c r="P210" s="289" t="str">
        <f t="shared" si="75"/>
        <v>NÃO</v>
      </c>
    </row>
    <row r="211" spans="1:88" ht="15.75" hidden="1" customHeight="1" outlineLevel="1" x14ac:dyDescent="0.2">
      <c r="A211" s="275" t="s">
        <v>154</v>
      </c>
      <c r="B211" s="275" t="s">
        <v>50</v>
      </c>
      <c r="C211" s="273">
        <v>116009.62</v>
      </c>
      <c r="D211" s="273">
        <v>117134.52</v>
      </c>
      <c r="E211" s="274">
        <v>1.2603</v>
      </c>
      <c r="F211" s="282">
        <v>115000</v>
      </c>
      <c r="G211" s="274">
        <f t="shared" si="77"/>
        <v>1.8222809125781229E-2</v>
      </c>
      <c r="H211" s="275">
        <v>1</v>
      </c>
      <c r="I211" s="276"/>
      <c r="J211" s="283">
        <v>1307.9000000000001</v>
      </c>
      <c r="K211" s="276" t="str">
        <f t="shared" si="76"/>
        <v/>
      </c>
      <c r="L211" s="283">
        <f t="shared" si="79"/>
        <v>4.5160174520547942</v>
      </c>
      <c r="M211" s="274">
        <f t="shared" si="78"/>
        <v>3.4528767123287668E-3</v>
      </c>
      <c r="N211" s="285">
        <v>45918</v>
      </c>
      <c r="O211" s="275">
        <f t="shared" ca="1" si="74"/>
        <v>0</v>
      </c>
      <c r="P211" s="289" t="str">
        <f t="shared" si="75"/>
        <v>NÃO</v>
      </c>
    </row>
    <row r="212" spans="1:88" ht="15.75" hidden="1" customHeight="1" outlineLevel="1" x14ac:dyDescent="0.2">
      <c r="A212" s="275" t="s">
        <v>161</v>
      </c>
      <c r="B212" s="275" t="s">
        <v>50</v>
      </c>
      <c r="C212" s="273">
        <v>4202.8500000000004</v>
      </c>
      <c r="D212" s="273">
        <v>4581.96</v>
      </c>
      <c r="E212" s="274">
        <v>0.54779999999999995</v>
      </c>
      <c r="F212" s="282">
        <v>4500</v>
      </c>
      <c r="G212" s="274">
        <f t="shared" si="77"/>
        <v>1.7887541576094082E-2</v>
      </c>
      <c r="H212" s="275">
        <v>4</v>
      </c>
      <c r="I212" s="276"/>
      <c r="J212" s="283">
        <v>3500</v>
      </c>
      <c r="K212" s="276" t="str">
        <f t="shared" ref="K212:K218" si="80">IF(I212&gt;0,(E212/365)*H212*I212,"")</f>
        <v/>
      </c>
      <c r="L212" s="283">
        <f t="shared" ref="L212:L218" si="81">IF(OR(N(J212)&gt;0, N(K212)&gt;0), (E212/365)*H212*N(J212) + N(K212)*D212, "")</f>
        <v>21.011506849315065</v>
      </c>
      <c r="M212" s="274">
        <f t="shared" ref="M212:M218" si="82">IF(J212&gt;0,L212/J212,IF(I212&gt;0,(K212/I212),""))</f>
        <v>6.0032876712328761E-3</v>
      </c>
      <c r="N212" s="285">
        <v>45922</v>
      </c>
      <c r="O212" s="275">
        <f t="shared" ref="O212:O217" ca="1" si="83">IF(N212&lt;&gt;"",IF(N212-TODAY()&lt;1,0,N212-TODAY()),"")</f>
        <v>0</v>
      </c>
      <c r="P212" s="294" t="str">
        <f t="shared" si="75"/>
        <v>SIM</v>
      </c>
    </row>
    <row r="213" spans="1:88" ht="15.75" hidden="1" customHeight="1" outlineLevel="1" x14ac:dyDescent="0.2">
      <c r="A213" s="275" t="s">
        <v>154</v>
      </c>
      <c r="B213" s="275" t="s">
        <v>50</v>
      </c>
      <c r="C213" s="273">
        <v>112785.28</v>
      </c>
      <c r="D213" s="273">
        <v>117520</v>
      </c>
      <c r="E213" s="274">
        <v>0.26800000000000002</v>
      </c>
      <c r="F213" s="282">
        <v>115500</v>
      </c>
      <c r="G213" s="274">
        <f t="shared" si="77"/>
        <v>1.7188563648740642E-2</v>
      </c>
      <c r="H213" s="275">
        <v>4</v>
      </c>
      <c r="I213" s="276"/>
      <c r="J213" s="283">
        <v>1300</v>
      </c>
      <c r="K213" s="276" t="str">
        <f t="shared" si="80"/>
        <v/>
      </c>
      <c r="L213" s="283">
        <f t="shared" si="81"/>
        <v>3.8180821917808219</v>
      </c>
      <c r="M213" s="274">
        <f t="shared" si="82"/>
        <v>2.936986301369863E-3</v>
      </c>
      <c r="N213" s="285">
        <v>45922</v>
      </c>
      <c r="O213" s="275">
        <f t="shared" ca="1" si="83"/>
        <v>0</v>
      </c>
      <c r="P213" s="294" t="str">
        <f t="shared" si="75"/>
        <v>SIM</v>
      </c>
    </row>
    <row r="214" spans="1:88" ht="15.75" hidden="1" customHeight="1" outlineLevel="1" x14ac:dyDescent="0.2">
      <c r="A214" s="275" t="s">
        <v>161</v>
      </c>
      <c r="B214" s="275" t="s">
        <v>67</v>
      </c>
      <c r="C214" s="273">
        <v>4179.8500000000004</v>
      </c>
      <c r="D214" s="273">
        <v>4169.2299999999996</v>
      </c>
      <c r="E214" s="274">
        <v>7.0699999999999999E-2</v>
      </c>
      <c r="F214" s="282">
        <v>4500</v>
      </c>
      <c r="G214" s="274">
        <f t="shared" si="77"/>
        <v>7.93359924974157E-2</v>
      </c>
      <c r="H214" s="275">
        <v>2</v>
      </c>
      <c r="I214" s="276">
        <v>0.78244444000000002</v>
      </c>
      <c r="J214" s="283"/>
      <c r="K214" s="276">
        <f t="shared" si="80"/>
        <v>3.0311683237260273E-4</v>
      </c>
      <c r="L214" s="283">
        <f t="shared" si="81"/>
        <v>1.2637637910328263</v>
      </c>
      <c r="M214" s="274">
        <f t="shared" si="82"/>
        <v>3.8739726027397256E-4</v>
      </c>
      <c r="N214" s="285">
        <v>45924</v>
      </c>
      <c r="O214" s="275">
        <f t="shared" ca="1" si="83"/>
        <v>0</v>
      </c>
      <c r="P214" s="293" t="str">
        <f t="shared" si="75"/>
        <v>NÃO</v>
      </c>
    </row>
    <row r="215" spans="1:88" ht="15.75" hidden="1" customHeight="1" outlineLevel="1" x14ac:dyDescent="0.2">
      <c r="A215" s="275" t="s">
        <v>154</v>
      </c>
      <c r="B215" s="275" t="s">
        <v>67</v>
      </c>
      <c r="C215" s="273">
        <v>112892.06</v>
      </c>
      <c r="D215" s="273">
        <v>112672.72</v>
      </c>
      <c r="E215" s="274">
        <v>0.14180000000000001</v>
      </c>
      <c r="F215" s="282">
        <v>115500</v>
      </c>
      <c r="G215" s="274">
        <f t="shared" si="77"/>
        <v>2.5092852999377302E-2</v>
      </c>
      <c r="H215" s="275">
        <v>2</v>
      </c>
      <c r="I215" s="276">
        <v>0.1129296</v>
      </c>
      <c r="J215" s="283"/>
      <c r="K215" s="276">
        <f t="shared" si="80"/>
        <v>8.7744752219178092E-5</v>
      </c>
      <c r="L215" s="283">
        <f t="shared" si="81"/>
        <v>9.8864398982608321</v>
      </c>
      <c r="M215" s="274">
        <f t="shared" si="82"/>
        <v>7.7698630136986311E-4</v>
      </c>
      <c r="N215" s="285">
        <v>45924</v>
      </c>
      <c r="O215" s="275">
        <f t="shared" ca="1" si="83"/>
        <v>0</v>
      </c>
      <c r="P215" s="293" t="str">
        <f t="shared" si="75"/>
        <v>NÃO</v>
      </c>
    </row>
    <row r="216" spans="1:88" ht="15.75" hidden="1" customHeight="1" outlineLevel="1" x14ac:dyDescent="0.2">
      <c r="A216" s="275" t="s">
        <v>154</v>
      </c>
      <c r="B216" s="275" t="s">
        <v>67</v>
      </c>
      <c r="C216" s="273">
        <v>109099.3</v>
      </c>
      <c r="D216" s="273">
        <v>109056.47</v>
      </c>
      <c r="E216" s="274">
        <v>0.1948</v>
      </c>
      <c r="F216" s="282">
        <v>115500</v>
      </c>
      <c r="G216" s="274">
        <f t="shared" si="77"/>
        <v>5.9084344101730038E-2</v>
      </c>
      <c r="H216" s="275">
        <v>2</v>
      </c>
      <c r="I216" s="276">
        <v>1.1299999999999999E-2</v>
      </c>
      <c r="J216" s="283"/>
      <c r="K216" s="276">
        <f t="shared" si="80"/>
        <v>1.206158904109589E-5</v>
      </c>
      <c r="L216" s="283">
        <f t="shared" si="81"/>
        <v>1.3153943234126027</v>
      </c>
      <c r="M216" s="274">
        <f t="shared" si="82"/>
        <v>1.0673972602739726E-3</v>
      </c>
      <c r="N216" s="285">
        <v>45926</v>
      </c>
      <c r="O216" s="275">
        <f t="shared" ca="1" si="83"/>
        <v>0</v>
      </c>
      <c r="P216" s="293" t="str">
        <f t="shared" si="75"/>
        <v>NÃO</v>
      </c>
    </row>
    <row r="217" spans="1:88" ht="15.75" hidden="1" customHeight="1" outlineLevel="1" x14ac:dyDescent="0.2">
      <c r="A217" s="275" t="s">
        <v>161</v>
      </c>
      <c r="B217" s="275" t="s">
        <v>67</v>
      </c>
      <c r="C217" s="273">
        <v>3929.82</v>
      </c>
      <c r="D217" s="273">
        <v>3917.23</v>
      </c>
      <c r="E217" s="274">
        <v>0.109</v>
      </c>
      <c r="F217" s="282">
        <v>4500</v>
      </c>
      <c r="G217" s="274">
        <f t="shared" si="77"/>
        <v>0.14877094273249208</v>
      </c>
      <c r="H217" s="275">
        <v>2</v>
      </c>
      <c r="I217" s="276">
        <v>0.78259999999999996</v>
      </c>
      <c r="J217" s="283"/>
      <c r="K217" s="276">
        <f t="shared" si="80"/>
        <v>4.6741589041095883E-4</v>
      </c>
      <c r="L217" s="283">
        <f t="shared" si="81"/>
        <v>1.8309755483945203</v>
      </c>
      <c r="M217" s="274">
        <f t="shared" si="82"/>
        <v>5.972602739726027E-4</v>
      </c>
      <c r="N217" s="285">
        <v>45926</v>
      </c>
      <c r="O217" s="275">
        <f t="shared" ca="1" si="83"/>
        <v>0</v>
      </c>
      <c r="P217" s="293" t="str">
        <f t="shared" si="75"/>
        <v>NÃO</v>
      </c>
    </row>
    <row r="218" spans="1:88" ht="15.75" hidden="1" customHeight="1" outlineLevel="1" x14ac:dyDescent="0.2">
      <c r="A218" s="275" t="s">
        <v>161</v>
      </c>
      <c r="B218" s="275" t="s">
        <v>67</v>
      </c>
      <c r="C218" s="273">
        <v>4295.88</v>
      </c>
      <c r="D218" s="273">
        <v>4028.65</v>
      </c>
      <c r="E218" s="274">
        <v>7.7299999999999994E-2</v>
      </c>
      <c r="F218" s="282">
        <v>4500</v>
      </c>
      <c r="G218" s="274">
        <f t="shared" si="77"/>
        <v>0.11699949114467623</v>
      </c>
      <c r="H218" s="275">
        <v>2</v>
      </c>
      <c r="I218" s="276">
        <v>0.78300000000000003</v>
      </c>
      <c r="J218" s="283"/>
      <c r="K218" s="276">
        <f t="shared" si="80"/>
        <v>3.3164876712328767E-4</v>
      </c>
      <c r="L218" s="283">
        <f t="shared" si="81"/>
        <v>1.3360968056712328</v>
      </c>
      <c r="M218" s="274">
        <f t="shared" si="82"/>
        <v>4.2356164383561642E-4</v>
      </c>
      <c r="N218" s="285">
        <v>45932</v>
      </c>
      <c r="O218" s="275">
        <f ca="1">IF(N218&lt;&gt;"",IF(N218-TODAY()&lt;1,0,N218-TODAY()),"")</f>
        <v>0</v>
      </c>
      <c r="P218" s="293" t="str">
        <f t="shared" si="75"/>
        <v>NÃO</v>
      </c>
    </row>
    <row r="219" spans="1:88" ht="15.75" hidden="1" customHeight="1" outlineLevel="1" x14ac:dyDescent="0.2">
      <c r="A219" s="275" t="s">
        <v>154</v>
      </c>
      <c r="B219" s="275" t="s">
        <v>67</v>
      </c>
      <c r="C219" s="273">
        <v>114987</v>
      </c>
      <c r="D219" s="273">
        <v>114525.16</v>
      </c>
      <c r="E219" s="274">
        <v>0.108</v>
      </c>
      <c r="F219" s="282">
        <v>115500</v>
      </c>
      <c r="G219" s="274">
        <f t="shared" si="77"/>
        <v>8.5120160495737052E-3</v>
      </c>
      <c r="H219" s="275">
        <v>1</v>
      </c>
      <c r="I219" s="276">
        <v>1.1310000000000001E-2</v>
      </c>
      <c r="J219" s="283"/>
      <c r="K219" s="276">
        <f>IF(I219&gt;0,(E219/365)*H219*I219,"")</f>
        <v>3.3465205479452055E-6</v>
      </c>
      <c r="L219" s="283">
        <f>IF(OR(N(J219)&gt;0, N(K219)&gt;0), (E219/365)*H219*N(J219) + N(K219)*D219, "")</f>
        <v>0.38326080119671235</v>
      </c>
      <c r="M219" s="274">
        <f>IF(J219&gt;0,L219/J219,IF(I219&gt;0,(K219/I219),""))</f>
        <v>2.958904109589041E-4</v>
      </c>
      <c r="N219" s="285">
        <v>45931</v>
      </c>
      <c r="O219" s="275">
        <f ca="1">IF(N219&lt;&gt;"",IF(N219-TODAY()&lt;1,0,N219-TODAY()),"")</f>
        <v>0</v>
      </c>
      <c r="P219" s="293" t="str">
        <f t="shared" si="75"/>
        <v>NÃO</v>
      </c>
    </row>
    <row r="220" spans="1:88" ht="15.75" customHeight="1" collapsed="1" x14ac:dyDescent="0.2">
      <c r="A220" s="262"/>
      <c r="B220" s="262"/>
      <c r="C220" s="262"/>
      <c r="D220" s="262"/>
      <c r="E220" s="262"/>
      <c r="F220" s="262"/>
      <c r="G220" s="262"/>
      <c r="H220" s="262"/>
      <c r="I220" s="262"/>
      <c r="J220" s="168"/>
      <c r="K220" s="168"/>
      <c r="L220" s="168"/>
      <c r="M220" s="288"/>
      <c r="N220" s="288"/>
      <c r="O220" s="262"/>
      <c r="P220" s="262"/>
      <c r="Q220" s="262"/>
    </row>
    <row r="221" spans="1:88" ht="15.75" customHeight="1" x14ac:dyDescent="0.25">
      <c r="A221" s="376">
        <v>45870</v>
      </c>
      <c r="B221" s="377"/>
      <c r="C221" s="377"/>
      <c r="D221" s="377"/>
      <c r="E221" s="377"/>
      <c r="F221" s="377"/>
      <c r="G221" s="377"/>
      <c r="H221" s="377"/>
      <c r="I221" s="378"/>
      <c r="J221" s="271" t="s">
        <v>156</v>
      </c>
      <c r="K221" s="269">
        <f>SUM(K223:K246)</f>
        <v>1.0452780136986301E-3</v>
      </c>
      <c r="L221" s="287">
        <f>SUM(L223:L246)</f>
        <v>103.20200476428883</v>
      </c>
      <c r="M221" s="272">
        <f>SUM(M223:M246)</f>
        <v>6.3376726695753088E-2</v>
      </c>
      <c r="N221" s="384"/>
      <c r="O221" s="385"/>
      <c r="P221" s="386"/>
      <c r="Q221" s="263" t="s">
        <v>160</v>
      </c>
    </row>
    <row r="222" spans="1:88" ht="15.75" hidden="1" customHeight="1" outlineLevel="1" x14ac:dyDescent="0.25">
      <c r="A222" s="295" t="s">
        <v>96</v>
      </c>
      <c r="B222" s="295" t="s">
        <v>38</v>
      </c>
      <c r="C222" s="295" t="s">
        <v>97</v>
      </c>
      <c r="D222" s="295" t="s">
        <v>167</v>
      </c>
      <c r="E222" s="295" t="s">
        <v>168</v>
      </c>
      <c r="F222" s="295" t="s">
        <v>41</v>
      </c>
      <c r="G222" s="295" t="s">
        <v>42</v>
      </c>
      <c r="H222" s="275" t="s">
        <v>169</v>
      </c>
      <c r="I222" s="296" t="s">
        <v>165</v>
      </c>
      <c r="J222" s="297" t="s">
        <v>166</v>
      </c>
      <c r="K222" s="387" t="s">
        <v>164</v>
      </c>
      <c r="L222" s="388"/>
      <c r="M222" s="295" t="s">
        <v>2</v>
      </c>
      <c r="N222" s="275" t="s">
        <v>155</v>
      </c>
      <c r="O222" s="275" t="s">
        <v>47</v>
      </c>
      <c r="P222" s="275" t="s">
        <v>58</v>
      </c>
    </row>
    <row r="223" spans="1:88" s="280" customFormat="1" ht="15.75" hidden="1" customHeight="1" outlineLevel="1" x14ac:dyDescent="0.25">
      <c r="A223" s="275" t="s">
        <v>161</v>
      </c>
      <c r="B223" s="275" t="s">
        <v>67</v>
      </c>
      <c r="C223" s="273">
        <v>4279.68</v>
      </c>
      <c r="D223" s="273">
        <v>4640.7700000000004</v>
      </c>
      <c r="E223" s="274">
        <v>0.72789999999999999</v>
      </c>
      <c r="F223" s="282">
        <v>3725</v>
      </c>
      <c r="G223" s="274">
        <f t="shared" ref="G223:G237" si="84">IF(A223&lt;&gt;"",IF(C223&gt;0,ABS(C223-F223)/C223,0),0)</f>
        <v>0.12960782114550626</v>
      </c>
      <c r="H223" s="275">
        <v>4</v>
      </c>
      <c r="I223" s="276">
        <v>1.52E-2</v>
      </c>
      <c r="J223" s="283">
        <f t="shared" ref="J223:J235" si="85">I223*D223</f>
        <v>70.539704</v>
      </c>
      <c r="K223" s="276">
        <v>1.2008E-4</v>
      </c>
      <c r="L223" s="284">
        <f t="shared" ref="L223:L234" si="86">K223*D223</f>
        <v>0.55726366160000007</v>
      </c>
      <c r="M223" s="274">
        <f t="shared" ref="M223:M233" si="87">K223/I223</f>
        <v>7.9000000000000008E-3</v>
      </c>
      <c r="N223" s="285">
        <v>45874</v>
      </c>
      <c r="O223" s="275">
        <f t="shared" ref="O223:O232" ca="1" si="88">IF(N223&lt;&gt;"",IF(N223-TODAY()&lt;1,0,N223-TODAY()),"")</f>
        <v>0</v>
      </c>
      <c r="P223" s="290" t="str">
        <f t="shared" ref="P223:P245" si="89">IF(A223&lt;&gt;"",IF(B223="CALL",(IF(C223&gt;=F223,"SIM","NÃO")),IF(B223="PUT",(IF(C223&lt;F223,"SIM","NÃO")),"FECHADO")),"")</f>
        <v>SIM</v>
      </c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6"/>
      <c r="AC223" s="96"/>
      <c r="AD223" s="96"/>
      <c r="AE223" s="96"/>
      <c r="AF223" s="96"/>
      <c r="AG223" s="96"/>
      <c r="AH223" s="96"/>
      <c r="AI223" s="96"/>
      <c r="AJ223" s="96"/>
      <c r="AK223" s="96"/>
      <c r="AL223" s="96"/>
      <c r="AM223" s="96"/>
      <c r="AN223" s="96"/>
      <c r="AO223" s="96"/>
      <c r="AP223" s="96"/>
      <c r="AQ223" s="96"/>
      <c r="AR223" s="96"/>
      <c r="AS223" s="96"/>
      <c r="AT223" s="96"/>
      <c r="AU223" s="96"/>
      <c r="AV223" s="96"/>
      <c r="AW223" s="96"/>
      <c r="AX223" s="96"/>
      <c r="AY223" s="96"/>
      <c r="AZ223" s="96"/>
      <c r="BA223" s="96"/>
      <c r="BB223" s="96"/>
      <c r="BC223" s="96"/>
      <c r="BD223" s="96"/>
      <c r="BE223" s="96"/>
      <c r="BF223" s="96"/>
      <c r="BG223" s="96"/>
      <c r="BH223" s="96"/>
      <c r="BI223" s="96"/>
      <c r="BJ223" s="96"/>
      <c r="BK223" s="96"/>
      <c r="BL223" s="96"/>
      <c r="BM223" s="96"/>
      <c r="BN223" s="96"/>
      <c r="BO223" s="96"/>
      <c r="BP223" s="96"/>
      <c r="BQ223" s="96"/>
      <c r="BR223" s="96"/>
      <c r="BS223" s="96"/>
      <c r="BT223" s="96"/>
      <c r="BU223" s="96"/>
      <c r="BV223" s="96"/>
      <c r="BW223" s="96"/>
      <c r="BX223" s="96"/>
      <c r="BY223" s="96"/>
      <c r="BZ223" s="96"/>
      <c r="CA223" s="96"/>
      <c r="CB223" s="96"/>
      <c r="CC223" s="96"/>
      <c r="CD223" s="96"/>
      <c r="CE223" s="96"/>
      <c r="CF223" s="96"/>
      <c r="CG223" s="96"/>
      <c r="CH223" s="96"/>
      <c r="CI223" s="96"/>
      <c r="CJ223" s="96"/>
    </row>
    <row r="224" spans="1:88" ht="15.75" hidden="1" customHeight="1" outlineLevel="1" x14ac:dyDescent="0.25">
      <c r="A224" s="275" t="s">
        <v>154</v>
      </c>
      <c r="B224" s="275" t="s">
        <v>67</v>
      </c>
      <c r="C224" s="273">
        <v>114212</v>
      </c>
      <c r="D224" s="273">
        <v>112810</v>
      </c>
      <c r="E224" s="274">
        <v>0.20280000000000001</v>
      </c>
      <c r="F224" s="282">
        <v>118000</v>
      </c>
      <c r="G224" s="274">
        <f t="shared" si="84"/>
        <v>3.3166392323048369E-2</v>
      </c>
      <c r="H224" s="275">
        <v>4</v>
      </c>
      <c r="I224" s="276">
        <v>1.9189999999999999E-2</v>
      </c>
      <c r="J224" s="283">
        <f t="shared" si="85"/>
        <v>2164.8238999999999</v>
      </c>
      <c r="K224" s="276">
        <f>(E224/365)*H224*I224</f>
        <v>4.2649117808219178E-5</v>
      </c>
      <c r="L224" s="284">
        <f t="shared" si="86"/>
        <v>4.8112469799452056</v>
      </c>
      <c r="M224" s="274">
        <f t="shared" si="87"/>
        <v>2.2224657534246576E-3</v>
      </c>
      <c r="N224" s="285">
        <v>45874</v>
      </c>
      <c r="O224" s="275">
        <f t="shared" ca="1" si="88"/>
        <v>0</v>
      </c>
      <c r="P224" s="289" t="str">
        <f t="shared" si="89"/>
        <v>NÃO</v>
      </c>
    </row>
    <row r="225" spans="1:16" ht="15.75" hidden="1" customHeight="1" outlineLevel="1" x14ac:dyDescent="0.25">
      <c r="A225" s="275" t="s">
        <v>161</v>
      </c>
      <c r="B225" s="275" t="s">
        <v>67</v>
      </c>
      <c r="C225" s="273">
        <v>4279.68</v>
      </c>
      <c r="D225" s="273">
        <v>4640.7700000000004</v>
      </c>
      <c r="E225" s="274">
        <v>0.88319999999999999</v>
      </c>
      <c r="F225" s="282">
        <v>3750</v>
      </c>
      <c r="G225" s="274">
        <f t="shared" si="84"/>
        <v>0.12376626289816067</v>
      </c>
      <c r="H225" s="275">
        <v>1</v>
      </c>
      <c r="I225" s="276">
        <v>1.5299999999999999E-2</v>
      </c>
      <c r="J225" s="283">
        <f t="shared" si="85"/>
        <v>71.003781000000004</v>
      </c>
      <c r="K225" s="276">
        <v>3.6720000000000001E-5</v>
      </c>
      <c r="L225" s="284">
        <f t="shared" si="86"/>
        <v>0.17040907440000003</v>
      </c>
      <c r="M225" s="274">
        <f t="shared" si="87"/>
        <v>2.4000000000000002E-3</v>
      </c>
      <c r="N225" s="285">
        <v>45875</v>
      </c>
      <c r="O225" s="275">
        <f t="shared" ca="1" si="88"/>
        <v>0</v>
      </c>
      <c r="P225" s="290" t="str">
        <f t="shared" si="89"/>
        <v>SIM</v>
      </c>
    </row>
    <row r="226" spans="1:16" ht="15.75" hidden="1" customHeight="1" outlineLevel="1" x14ac:dyDescent="0.25">
      <c r="A226" s="275" t="s">
        <v>154</v>
      </c>
      <c r="B226" s="275" t="s">
        <v>67</v>
      </c>
      <c r="C226" s="273">
        <v>115079.23</v>
      </c>
      <c r="D226" s="273">
        <v>115160</v>
      </c>
      <c r="E226" s="274">
        <v>0.24079999999999999</v>
      </c>
      <c r="F226" s="282">
        <v>116500</v>
      </c>
      <c r="G226" s="274">
        <f t="shared" si="84"/>
        <v>1.2346015870978664E-2</v>
      </c>
      <c r="H226" s="275">
        <v>1</v>
      </c>
      <c r="I226" s="276">
        <v>1.9230000000000001E-2</v>
      </c>
      <c r="J226" s="283">
        <f t="shared" si="85"/>
        <v>2214.5268000000001</v>
      </c>
      <c r="K226" s="276">
        <f t="shared" ref="K226:K233" si="90">(E226/365)*H226*I226</f>
        <v>1.2686531506849316E-5</v>
      </c>
      <c r="L226" s="284">
        <f t="shared" si="86"/>
        <v>1.4609809683287671</v>
      </c>
      <c r="M226" s="274">
        <f t="shared" si="87"/>
        <v>6.5972602739726026E-4</v>
      </c>
      <c r="N226" s="285">
        <v>45875</v>
      </c>
      <c r="O226" s="275">
        <f t="shared" ca="1" si="88"/>
        <v>0</v>
      </c>
      <c r="P226" s="289" t="str">
        <f t="shared" si="89"/>
        <v>NÃO</v>
      </c>
    </row>
    <row r="227" spans="1:16" ht="15.75" hidden="1" customHeight="1" outlineLevel="1" x14ac:dyDescent="0.25">
      <c r="A227" s="275" t="s">
        <v>161</v>
      </c>
      <c r="B227" s="275" t="s">
        <v>67</v>
      </c>
      <c r="C227" s="273">
        <v>4279.68</v>
      </c>
      <c r="D227" s="273">
        <v>4640.76</v>
      </c>
      <c r="E227" s="274">
        <v>1.0426</v>
      </c>
      <c r="F227" s="282">
        <v>3700</v>
      </c>
      <c r="G227" s="274">
        <f t="shared" si="84"/>
        <v>0.13544937939285187</v>
      </c>
      <c r="H227" s="275">
        <v>2</v>
      </c>
      <c r="I227" s="276">
        <v>1.5299999999999999E-2</v>
      </c>
      <c r="J227" s="283">
        <f t="shared" si="85"/>
        <v>71.003628000000006</v>
      </c>
      <c r="K227" s="276">
        <f t="shared" si="90"/>
        <v>8.7407013698630133E-5</v>
      </c>
      <c r="L227" s="284">
        <f t="shared" si="86"/>
        <v>0.4056349728920548</v>
      </c>
      <c r="M227" s="274">
        <f t="shared" si="87"/>
        <v>5.7128767123287667E-3</v>
      </c>
      <c r="N227" s="285">
        <v>45877</v>
      </c>
      <c r="O227" s="275">
        <f t="shared" ca="1" si="88"/>
        <v>0</v>
      </c>
      <c r="P227" s="290" t="str">
        <f t="shared" si="89"/>
        <v>SIM</v>
      </c>
    </row>
    <row r="228" spans="1:16" ht="15.75" hidden="1" customHeight="1" outlineLevel="1" x14ac:dyDescent="0.25">
      <c r="A228" s="275" t="s">
        <v>154</v>
      </c>
      <c r="B228" s="275" t="s">
        <v>67</v>
      </c>
      <c r="C228" s="273">
        <v>115079.22</v>
      </c>
      <c r="D228" s="273">
        <v>117580</v>
      </c>
      <c r="E228" s="274">
        <v>0.2495</v>
      </c>
      <c r="F228" s="282">
        <v>116000</v>
      </c>
      <c r="G228" s="274">
        <f t="shared" si="84"/>
        <v>8.0012707767744586E-3</v>
      </c>
      <c r="H228" s="275">
        <v>2</v>
      </c>
      <c r="I228" s="276">
        <v>1.924E-2</v>
      </c>
      <c r="J228" s="283">
        <f t="shared" si="85"/>
        <v>2262.2392</v>
      </c>
      <c r="K228" s="276">
        <f t="shared" si="90"/>
        <v>2.6303452054794519E-5</v>
      </c>
      <c r="L228" s="284">
        <f t="shared" si="86"/>
        <v>3.0927598926027398</v>
      </c>
      <c r="M228" s="274">
        <f t="shared" si="87"/>
        <v>1.3671232876712328E-3</v>
      </c>
      <c r="N228" s="285">
        <v>45877</v>
      </c>
      <c r="O228" s="275">
        <f t="shared" ca="1" si="88"/>
        <v>0</v>
      </c>
      <c r="P228" s="289" t="str">
        <f t="shared" si="89"/>
        <v>NÃO</v>
      </c>
    </row>
    <row r="229" spans="1:16" ht="15.75" hidden="1" customHeight="1" outlineLevel="1" x14ac:dyDescent="0.25">
      <c r="A229" s="275" t="s">
        <v>154</v>
      </c>
      <c r="B229" s="275" t="s">
        <v>50</v>
      </c>
      <c r="C229" s="273">
        <v>115079.22</v>
      </c>
      <c r="D229" s="273">
        <v>116550</v>
      </c>
      <c r="E229" s="274">
        <v>0.40589999999999998</v>
      </c>
      <c r="F229" s="282">
        <v>116000</v>
      </c>
      <c r="G229" s="274">
        <f t="shared" si="84"/>
        <v>8.0012707767744586E-3</v>
      </c>
      <c r="H229" s="275">
        <v>3</v>
      </c>
      <c r="I229" s="276">
        <v>1.9E-2</v>
      </c>
      <c r="J229" s="283">
        <f t="shared" si="85"/>
        <v>2214.4499999999998</v>
      </c>
      <c r="K229" s="276">
        <f t="shared" si="90"/>
        <v>6.3387123287671245E-5</v>
      </c>
      <c r="L229" s="284">
        <f t="shared" si="86"/>
        <v>7.3877692191780833</v>
      </c>
      <c r="M229" s="274">
        <f t="shared" si="87"/>
        <v>3.3361643835616447E-3</v>
      </c>
      <c r="N229" s="285">
        <v>45880</v>
      </c>
      <c r="O229" s="275">
        <f t="shared" ca="1" si="88"/>
        <v>0</v>
      </c>
      <c r="P229" s="290" t="str">
        <f t="shared" si="89"/>
        <v>SIM</v>
      </c>
    </row>
    <row r="230" spans="1:16" ht="15.75" hidden="1" customHeight="1" outlineLevel="1" x14ac:dyDescent="0.25">
      <c r="A230" s="275" t="s">
        <v>154</v>
      </c>
      <c r="B230" s="275" t="s">
        <v>50</v>
      </c>
      <c r="C230" s="273">
        <v>115079.22</v>
      </c>
      <c r="D230" s="273">
        <v>120110</v>
      </c>
      <c r="E230" s="274">
        <v>1.1714</v>
      </c>
      <c r="F230" s="282">
        <v>120500</v>
      </c>
      <c r="G230" s="274">
        <f t="shared" si="84"/>
        <v>4.71047683500114E-2</v>
      </c>
      <c r="H230" s="275">
        <v>1</v>
      </c>
      <c r="I230" s="276">
        <v>1.9E-2</v>
      </c>
      <c r="J230" s="283">
        <f t="shared" si="85"/>
        <v>2282.09</v>
      </c>
      <c r="K230" s="276">
        <f t="shared" si="90"/>
        <v>6.0976986301369861E-5</v>
      </c>
      <c r="L230" s="284">
        <f t="shared" si="86"/>
        <v>7.3239458246575344</v>
      </c>
      <c r="M230" s="274">
        <f t="shared" si="87"/>
        <v>3.2093150684931507E-3</v>
      </c>
      <c r="N230" s="285">
        <v>45881</v>
      </c>
      <c r="O230" s="275">
        <f t="shared" ca="1" si="88"/>
        <v>0</v>
      </c>
      <c r="P230" s="290" t="str">
        <f t="shared" si="89"/>
        <v>SIM</v>
      </c>
    </row>
    <row r="231" spans="1:16" ht="15.75" hidden="1" customHeight="1" outlineLevel="1" x14ac:dyDescent="0.25">
      <c r="A231" s="275" t="s">
        <v>154</v>
      </c>
      <c r="B231" s="275" t="s">
        <v>67</v>
      </c>
      <c r="C231" s="273">
        <v>115079.23</v>
      </c>
      <c r="D231" s="273">
        <v>120110</v>
      </c>
      <c r="E231" s="274">
        <v>1.5232000000000001</v>
      </c>
      <c r="F231" s="282">
        <v>121500</v>
      </c>
      <c r="G231" s="274">
        <f t="shared" si="84"/>
        <v>5.5794342732394059E-2</v>
      </c>
      <c r="H231" s="275">
        <v>1</v>
      </c>
      <c r="I231" s="276">
        <v>4.3E-3</v>
      </c>
      <c r="J231" s="283">
        <f t="shared" si="85"/>
        <v>516.47299999999996</v>
      </c>
      <c r="K231" s="276">
        <f t="shared" si="90"/>
        <v>1.7944547945205481E-5</v>
      </c>
      <c r="L231" s="284">
        <f t="shared" si="86"/>
        <v>2.1553196536986303</v>
      </c>
      <c r="M231" s="274">
        <f t="shared" si="87"/>
        <v>4.1731506849315069E-3</v>
      </c>
      <c r="N231" s="285">
        <v>45881</v>
      </c>
      <c r="O231" s="275">
        <f t="shared" ca="1" si="88"/>
        <v>0</v>
      </c>
      <c r="P231" s="289" t="str">
        <f t="shared" si="89"/>
        <v>NÃO</v>
      </c>
    </row>
    <row r="232" spans="1:16" ht="15.75" hidden="1" customHeight="1" outlineLevel="1" x14ac:dyDescent="0.25">
      <c r="A232" s="275" t="s">
        <v>154</v>
      </c>
      <c r="B232" s="275" t="s">
        <v>67</v>
      </c>
      <c r="C232" s="273">
        <v>115079.22</v>
      </c>
      <c r="D232" s="273">
        <v>120110</v>
      </c>
      <c r="E232" s="274">
        <v>0.53180000000000005</v>
      </c>
      <c r="F232" s="282">
        <v>121000</v>
      </c>
      <c r="G232" s="274">
        <f t="shared" si="84"/>
        <v>5.1449601413704395E-2</v>
      </c>
      <c r="H232" s="275">
        <v>1</v>
      </c>
      <c r="I232" s="276">
        <v>8.6574000000000009E-3</v>
      </c>
      <c r="J232" s="283">
        <f t="shared" si="85"/>
        <v>1039.840314</v>
      </c>
      <c r="K232" s="276">
        <v>1.2119999999999999E-5</v>
      </c>
      <c r="L232" s="284">
        <f t="shared" si="86"/>
        <v>1.4557331999999998</v>
      </c>
      <c r="M232" s="274">
        <f t="shared" si="87"/>
        <v>1.3999584170767204E-3</v>
      </c>
      <c r="N232" s="285">
        <v>45881</v>
      </c>
      <c r="O232" s="275">
        <f t="shared" ca="1" si="88"/>
        <v>0</v>
      </c>
      <c r="P232" s="289" t="str">
        <f t="shared" si="89"/>
        <v>NÃO</v>
      </c>
    </row>
    <row r="233" spans="1:16" ht="15.75" hidden="1" customHeight="1" outlineLevel="1" x14ac:dyDescent="0.25">
      <c r="A233" s="275" t="s">
        <v>154</v>
      </c>
      <c r="B233" s="275" t="s">
        <v>67</v>
      </c>
      <c r="C233" s="273">
        <v>115079.22</v>
      </c>
      <c r="D233" s="273">
        <v>122880</v>
      </c>
      <c r="E233" s="274">
        <v>1.149</v>
      </c>
      <c r="F233" s="282">
        <v>119000</v>
      </c>
      <c r="G233" s="274">
        <f t="shared" si="84"/>
        <v>3.4070269158932416E-2</v>
      </c>
      <c r="H233" s="275">
        <v>1</v>
      </c>
      <c r="I233" s="276">
        <v>3.2129999999999999E-2</v>
      </c>
      <c r="J233" s="283">
        <f t="shared" si="85"/>
        <v>3948.1343999999999</v>
      </c>
      <c r="K233" s="276">
        <f t="shared" si="90"/>
        <v>1.0114347945205479E-4</v>
      </c>
      <c r="L233" s="284">
        <f t="shared" si="86"/>
        <v>12.428510755068492</v>
      </c>
      <c r="M233" s="274">
        <f t="shared" si="87"/>
        <v>3.1479452054794521E-3</v>
      </c>
      <c r="N233" s="285">
        <v>45882</v>
      </c>
      <c r="O233" s="275">
        <f t="shared" ref="O233:O241" ca="1" si="91">IF(N233&lt;&gt;"",IF(N233-TODAY()&lt;1,0,N233-TODAY()),"")</f>
        <v>0</v>
      </c>
      <c r="P233" s="289" t="str">
        <f t="shared" si="89"/>
        <v>NÃO</v>
      </c>
    </row>
    <row r="234" spans="1:16" ht="15.75" hidden="1" customHeight="1" outlineLevel="1" x14ac:dyDescent="0.25">
      <c r="A234" s="275" t="s">
        <v>154</v>
      </c>
      <c r="B234" s="275" t="s">
        <v>50</v>
      </c>
      <c r="C234" s="273">
        <v>115079.22</v>
      </c>
      <c r="D234" s="273">
        <v>118410</v>
      </c>
      <c r="E234" s="274">
        <v>0.68479999999999996</v>
      </c>
      <c r="F234" s="282">
        <v>119500</v>
      </c>
      <c r="G234" s="274">
        <f t="shared" si="84"/>
        <v>3.8415102222625411E-2</v>
      </c>
      <c r="H234" s="275">
        <v>1</v>
      </c>
      <c r="I234" s="276">
        <v>3.2000000000000001E-2</v>
      </c>
      <c r="J234" s="283">
        <f t="shared" si="85"/>
        <v>3789.12</v>
      </c>
      <c r="K234" s="276">
        <v>5.7000000000000003E-5</v>
      </c>
      <c r="L234" s="284">
        <f t="shared" si="86"/>
        <v>6.7493700000000008</v>
      </c>
      <c r="M234" s="274">
        <f>K234/I234</f>
        <v>1.7812500000000001E-3</v>
      </c>
      <c r="N234" s="285">
        <v>45883</v>
      </c>
      <c r="O234" s="275">
        <f t="shared" ca="1" si="91"/>
        <v>0</v>
      </c>
      <c r="P234" s="290" t="str">
        <f t="shared" si="89"/>
        <v>SIM</v>
      </c>
    </row>
    <row r="235" spans="1:16" ht="15.75" hidden="1" customHeight="1" outlineLevel="1" x14ac:dyDescent="0.25">
      <c r="A235" s="275" t="s">
        <v>154</v>
      </c>
      <c r="B235" s="275" t="s">
        <v>50</v>
      </c>
      <c r="C235" s="273">
        <v>115079.23</v>
      </c>
      <c r="D235" s="273">
        <v>118070</v>
      </c>
      <c r="E235" s="274">
        <v>0.34010000000000001</v>
      </c>
      <c r="F235" s="282">
        <v>119500</v>
      </c>
      <c r="G235" s="274">
        <f t="shared" si="84"/>
        <v>3.8415011987827902E-2</v>
      </c>
      <c r="H235" s="275">
        <v>1</v>
      </c>
      <c r="I235" s="276">
        <v>3.2000000000000001E-2</v>
      </c>
      <c r="J235" s="283">
        <f t="shared" si="85"/>
        <v>3778.2400000000002</v>
      </c>
      <c r="K235" s="276">
        <f>(E235/365)*H235*I235</f>
        <v>2.9816986301369865E-5</v>
      </c>
      <c r="L235" s="284">
        <f>K235*D235</f>
        <v>3.5204915726027401</v>
      </c>
      <c r="M235" s="274">
        <f>K235/I235</f>
        <v>9.3178082191780823E-4</v>
      </c>
      <c r="N235" s="285">
        <v>45884</v>
      </c>
      <c r="O235" s="275">
        <f t="shared" ca="1" si="91"/>
        <v>0</v>
      </c>
      <c r="P235" s="290" t="str">
        <f t="shared" si="89"/>
        <v>SIM</v>
      </c>
    </row>
    <row r="236" spans="1:16" ht="15.75" hidden="1" customHeight="1" outlineLevel="1" x14ac:dyDescent="0.25">
      <c r="A236" s="275" t="s">
        <v>154</v>
      </c>
      <c r="B236" s="275" t="s">
        <v>67</v>
      </c>
      <c r="C236" s="273">
        <v>115079.22</v>
      </c>
      <c r="D236" s="273">
        <v>118223.08</v>
      </c>
      <c r="E236" s="274">
        <v>0.4078</v>
      </c>
      <c r="F236" s="282">
        <v>120000</v>
      </c>
      <c r="G236" s="274">
        <f t="shared" si="84"/>
        <v>4.2759935286318405E-2</v>
      </c>
      <c r="H236" s="275">
        <v>3</v>
      </c>
      <c r="I236" s="276">
        <v>3.218E-2</v>
      </c>
      <c r="J236" s="283">
        <f>I236*D236</f>
        <v>3804.4187144000002</v>
      </c>
      <c r="K236" s="276">
        <v>1.0619E-4</v>
      </c>
      <c r="L236" s="284">
        <f>K236*D236</f>
        <v>12.5541088652</v>
      </c>
      <c r="M236" s="274">
        <f>K236/I236</f>
        <v>3.2998756991920448E-3</v>
      </c>
      <c r="N236" s="285">
        <v>45887</v>
      </c>
      <c r="O236" s="275">
        <f t="shared" ca="1" si="91"/>
        <v>0</v>
      </c>
      <c r="P236" s="289" t="str">
        <f t="shared" si="89"/>
        <v>NÃO</v>
      </c>
    </row>
    <row r="237" spans="1:16" ht="15.75" hidden="1" customHeight="1" outlineLevel="1" x14ac:dyDescent="0.25">
      <c r="A237" s="275" t="s">
        <v>154</v>
      </c>
      <c r="B237" s="275" t="s">
        <v>67</v>
      </c>
      <c r="C237" s="273">
        <v>115129.21</v>
      </c>
      <c r="D237" s="273">
        <v>115189.92</v>
      </c>
      <c r="E237" s="274">
        <v>0.10979999999999999</v>
      </c>
      <c r="F237" s="282">
        <v>119500</v>
      </c>
      <c r="G237" s="274">
        <f t="shared" si="84"/>
        <v>3.796421429453041E-2</v>
      </c>
      <c r="H237" s="275">
        <v>2</v>
      </c>
      <c r="I237" s="276">
        <v>3.2280000000000003E-2</v>
      </c>
      <c r="J237" s="283">
        <f>I237*D237</f>
        <v>3718.3306176000001</v>
      </c>
      <c r="K237" s="276">
        <v>1.9360000000000001E-5</v>
      </c>
      <c r="L237" s="284">
        <f>K237*D237</f>
        <v>2.2300768512000002</v>
      </c>
      <c r="M237" s="274">
        <f>IF(J237&gt;0,L237/J237,0)</f>
        <v>5.9975216852540278E-4</v>
      </c>
      <c r="N237" s="285">
        <v>45889</v>
      </c>
      <c r="O237" s="275">
        <f t="shared" ca="1" si="91"/>
        <v>0</v>
      </c>
      <c r="P237" s="289" t="str">
        <f t="shared" si="89"/>
        <v>NÃO</v>
      </c>
    </row>
    <row r="238" spans="1:16" ht="15.75" hidden="1" customHeight="1" outlineLevel="1" x14ac:dyDescent="0.25">
      <c r="A238" s="275" t="s">
        <v>154</v>
      </c>
      <c r="B238" s="275" t="s">
        <v>50</v>
      </c>
      <c r="C238" s="273">
        <v>113164.03</v>
      </c>
      <c r="D238" s="273">
        <v>114040</v>
      </c>
      <c r="E238" s="274">
        <v>0.86799999999999999</v>
      </c>
      <c r="F238" s="282">
        <v>113500</v>
      </c>
      <c r="G238" s="274">
        <v>4.82E-2</v>
      </c>
      <c r="H238" s="275">
        <v>2</v>
      </c>
      <c r="I238" s="276">
        <v>1.6E-2</v>
      </c>
      <c r="J238" s="283">
        <v>1838</v>
      </c>
      <c r="K238" s="276">
        <f t="shared" ref="K238:K245" si="92">(E238/365)*H238*I238</f>
        <v>7.6098630136986294E-5</v>
      </c>
      <c r="L238" s="284">
        <f t="shared" ref="L238:L244" si="93">IF(J238&gt;0,(E238/365)*H238*J238,K238*D238)</f>
        <v>8.7418301369863016</v>
      </c>
      <c r="M238" s="274">
        <f t="shared" ref="M238:M245" si="94">IF(J238&gt;0,L238/J238,IF(K238&gt;0,(K238/I238),0))</f>
        <v>4.7561643835616436E-3</v>
      </c>
      <c r="N238" s="285">
        <v>45891</v>
      </c>
      <c r="O238" s="275">
        <f t="shared" ca="1" si="91"/>
        <v>0</v>
      </c>
      <c r="P238" s="290" t="str">
        <f t="shared" si="89"/>
        <v>SIM</v>
      </c>
    </row>
    <row r="239" spans="1:16" ht="15.75" hidden="1" customHeight="1" outlineLevel="1" x14ac:dyDescent="0.25">
      <c r="A239" s="275" t="s">
        <v>161</v>
      </c>
      <c r="B239" s="275" t="s">
        <v>50</v>
      </c>
      <c r="C239" s="273">
        <v>4333.03</v>
      </c>
      <c r="D239" s="273">
        <v>4324.7299999999996</v>
      </c>
      <c r="E239" s="274">
        <v>0.08</v>
      </c>
      <c r="F239" s="282">
        <v>3900</v>
      </c>
      <c r="G239" s="274">
        <v>4.82E-2</v>
      </c>
      <c r="H239" s="275">
        <v>2</v>
      </c>
      <c r="I239" s="276">
        <v>1.6E-2</v>
      </c>
      <c r="J239" s="283">
        <v>1837.6</v>
      </c>
      <c r="K239" s="276">
        <f t="shared" si="92"/>
        <v>7.013698630136987E-6</v>
      </c>
      <c r="L239" s="284">
        <f t="shared" si="93"/>
        <v>0.80552328767123282</v>
      </c>
      <c r="M239" s="274">
        <f t="shared" si="94"/>
        <v>4.3835616438356166E-4</v>
      </c>
      <c r="N239" s="285">
        <v>45891</v>
      </c>
      <c r="O239" s="275">
        <f t="shared" ca="1" si="91"/>
        <v>0</v>
      </c>
      <c r="P239" s="289" t="str">
        <f t="shared" si="89"/>
        <v>NÃO</v>
      </c>
    </row>
    <row r="240" spans="1:16" ht="15.75" hidden="1" customHeight="1" outlineLevel="1" x14ac:dyDescent="0.25">
      <c r="A240" s="275" t="s">
        <v>154</v>
      </c>
      <c r="B240" s="275" t="s">
        <v>67</v>
      </c>
      <c r="C240" s="273">
        <v>117030.42</v>
      </c>
      <c r="D240" s="273">
        <v>112625.47</v>
      </c>
      <c r="E240" s="274">
        <v>0.379</v>
      </c>
      <c r="F240" s="282">
        <v>115000</v>
      </c>
      <c r="G240" s="274">
        <f t="shared" ref="G240:G245" si="95">IF(A240&lt;&gt;"",IF(C240&gt;0,ABS(C240-F240)/C240,0),0)</f>
        <v>1.7349506222399256E-2</v>
      </c>
      <c r="H240" s="275">
        <v>3</v>
      </c>
      <c r="I240" s="276">
        <v>1.626E-2</v>
      </c>
      <c r="J240" s="283">
        <v>1821.53</v>
      </c>
      <c r="K240" s="276">
        <f t="shared" si="92"/>
        <v>5.0651013698630141E-5</v>
      </c>
      <c r="L240" s="284">
        <f t="shared" si="93"/>
        <v>5.6741907123287678</v>
      </c>
      <c r="M240" s="274">
        <f t="shared" si="94"/>
        <v>3.1150684931506856E-3</v>
      </c>
      <c r="N240" s="285">
        <v>45894</v>
      </c>
      <c r="O240" s="275">
        <f t="shared" ca="1" si="91"/>
        <v>0</v>
      </c>
      <c r="P240" s="290" t="str">
        <f t="shared" si="89"/>
        <v>SIM</v>
      </c>
    </row>
    <row r="241" spans="1:16" ht="15.75" hidden="1" customHeight="1" outlineLevel="1" x14ac:dyDescent="0.25">
      <c r="A241" s="275" t="s">
        <v>161</v>
      </c>
      <c r="B241" s="275" t="s">
        <v>50</v>
      </c>
      <c r="C241" s="273">
        <v>4656.99</v>
      </c>
      <c r="D241" s="273">
        <v>4296.05</v>
      </c>
      <c r="E241" s="274">
        <v>0.68530000000000002</v>
      </c>
      <c r="F241" s="282">
        <v>4100</v>
      </c>
      <c r="G241" s="274">
        <f t="shared" si="95"/>
        <v>0.11960300537471624</v>
      </c>
      <c r="H241" s="275">
        <v>3</v>
      </c>
      <c r="I241" s="276">
        <v>1.6E-2</v>
      </c>
      <c r="J241" s="283">
        <v>1835</v>
      </c>
      <c r="K241" s="276">
        <f t="shared" si="92"/>
        <v>9.012164383561644E-5</v>
      </c>
      <c r="L241" s="284">
        <f t="shared" si="93"/>
        <v>10.33582602739726</v>
      </c>
      <c r="M241" s="274">
        <f t="shared" si="94"/>
        <v>5.6326027397260274E-3</v>
      </c>
      <c r="N241" s="285">
        <v>45894</v>
      </c>
      <c r="O241" s="275">
        <f t="shared" ca="1" si="91"/>
        <v>0</v>
      </c>
      <c r="P241" s="289" t="str">
        <f t="shared" si="89"/>
        <v>NÃO</v>
      </c>
    </row>
    <row r="242" spans="1:16" ht="15.75" hidden="1" customHeight="1" outlineLevel="1" x14ac:dyDescent="0.25">
      <c r="A242" s="275" t="s">
        <v>154</v>
      </c>
      <c r="B242" s="275" t="s">
        <v>67</v>
      </c>
      <c r="C242" s="273">
        <v>110412.34</v>
      </c>
      <c r="D242" s="273">
        <v>111686.63</v>
      </c>
      <c r="E242" s="274">
        <v>0.1106</v>
      </c>
      <c r="F242" s="282">
        <v>115000</v>
      </c>
      <c r="G242" s="274">
        <f t="shared" si="95"/>
        <v>4.1550247010433833E-2</v>
      </c>
      <c r="H242" s="275">
        <v>1</v>
      </c>
      <c r="I242" s="276">
        <v>1.6299999999999999E-2</v>
      </c>
      <c r="J242" s="283"/>
      <c r="K242" s="276">
        <f t="shared" si="92"/>
        <v>4.9391232876712331E-6</v>
      </c>
      <c r="L242" s="284">
        <f t="shared" si="93"/>
        <v>0.55163403515452059</v>
      </c>
      <c r="M242" s="274">
        <f t="shared" si="94"/>
        <v>3.0301369863013701E-4</v>
      </c>
      <c r="N242" s="285">
        <v>45895</v>
      </c>
      <c r="O242" s="275">
        <f ca="1">IF(N242&lt;&gt;"",IF(N242-TODAY()&lt;1,0,N242-TODAY()),"")</f>
        <v>0</v>
      </c>
      <c r="P242" s="289" t="str">
        <f t="shared" si="89"/>
        <v>NÃO</v>
      </c>
    </row>
    <row r="243" spans="1:16" ht="15.75" hidden="1" customHeight="1" outlineLevel="1" x14ac:dyDescent="0.25">
      <c r="A243" s="275" t="s">
        <v>161</v>
      </c>
      <c r="B243" s="275" t="s">
        <v>50</v>
      </c>
      <c r="C243" s="273">
        <v>4601.45</v>
      </c>
      <c r="D243" s="273">
        <v>4810.7700000000004</v>
      </c>
      <c r="E243" s="274">
        <v>0.17480000000000001</v>
      </c>
      <c r="F243" s="282">
        <v>4200</v>
      </c>
      <c r="G243" s="274">
        <f t="shared" si="95"/>
        <v>8.7244238229253784E-2</v>
      </c>
      <c r="H243" s="275">
        <v>1</v>
      </c>
      <c r="I243" s="276"/>
      <c r="J243" s="283">
        <v>1480</v>
      </c>
      <c r="K243" s="276">
        <f t="shared" si="92"/>
        <v>0</v>
      </c>
      <c r="L243" s="284">
        <f t="shared" si="93"/>
        <v>0.70877808219178084</v>
      </c>
      <c r="M243" s="274">
        <f t="shared" si="94"/>
        <v>4.7890410958904112E-4</v>
      </c>
      <c r="N243" s="285">
        <v>45895</v>
      </c>
      <c r="O243" s="275">
        <f ca="1">IF(N243&lt;&gt;"",IF(N243-TODAY()&lt;1,0,N243-TODAY()),"")</f>
        <v>0</v>
      </c>
      <c r="P243" s="289" t="str">
        <f t="shared" si="89"/>
        <v>NÃO</v>
      </c>
    </row>
    <row r="244" spans="1:16" ht="15.75" hidden="1" customHeight="1" outlineLevel="1" x14ac:dyDescent="0.25">
      <c r="A244" s="275" t="s">
        <v>154</v>
      </c>
      <c r="B244" s="275" t="s">
        <v>67</v>
      </c>
      <c r="C244" s="273">
        <v>111998.26</v>
      </c>
      <c r="D244" s="273">
        <v>110327.34</v>
      </c>
      <c r="E244" s="274">
        <v>0.1691</v>
      </c>
      <c r="F244" s="282">
        <v>115000</v>
      </c>
      <c r="G244" s="274">
        <f t="shared" si="95"/>
        <v>2.6801666383031355E-2</v>
      </c>
      <c r="H244" s="275">
        <v>3</v>
      </c>
      <c r="I244" s="276">
        <v>1.6310000000000002E-2</v>
      </c>
      <c r="J244" s="283"/>
      <c r="K244" s="276">
        <f t="shared" si="92"/>
        <v>2.2668665753424659E-5</v>
      </c>
      <c r="L244" s="284">
        <f t="shared" si="93"/>
        <v>2.5009735939244386</v>
      </c>
      <c r="M244" s="274">
        <f t="shared" si="94"/>
        <v>1.3898630136986302E-3</v>
      </c>
      <c r="N244" s="285">
        <v>45898</v>
      </c>
      <c r="O244" s="275">
        <f ca="1">IF(N244&lt;&gt;"",IF(N244-TODAY()&lt;1,0,N244-TODAY()),"")</f>
        <v>0</v>
      </c>
      <c r="P244" s="289" t="str">
        <f t="shared" si="89"/>
        <v>NÃO</v>
      </c>
    </row>
    <row r="245" spans="1:16" ht="15.75" hidden="1" customHeight="1" outlineLevel="1" x14ac:dyDescent="0.25">
      <c r="A245" s="275" t="s">
        <v>161</v>
      </c>
      <c r="B245" s="275" t="s">
        <v>50</v>
      </c>
      <c r="C245" s="273">
        <v>4461.43</v>
      </c>
      <c r="D245" s="273">
        <v>4810</v>
      </c>
      <c r="E245" s="274">
        <v>0.62309999999999999</v>
      </c>
      <c r="F245" s="282">
        <v>4175</v>
      </c>
      <c r="G245" s="274">
        <f t="shared" si="95"/>
        <v>6.4201388344096014E-2</v>
      </c>
      <c r="H245" s="275">
        <v>3</v>
      </c>
      <c r="I245" s="276"/>
      <c r="J245" s="283">
        <v>1480</v>
      </c>
      <c r="K245" s="276">
        <f t="shared" si="92"/>
        <v>0</v>
      </c>
      <c r="L245" s="284">
        <f>IF(J245&gt;0,(E245/365)*H245*J245,K245*D245)</f>
        <v>7.5796273972602739</v>
      </c>
      <c r="M245" s="274">
        <f t="shared" si="94"/>
        <v>5.1213698630136984E-3</v>
      </c>
      <c r="N245" s="285">
        <v>45898</v>
      </c>
      <c r="O245" s="275">
        <f ca="1">IF(N245&lt;&gt;"",IF(N245-TODAY()&lt;1,0,N245-TODAY()),"")</f>
        <v>0</v>
      </c>
      <c r="P245" s="289" t="str">
        <f t="shared" si="89"/>
        <v>NÃO</v>
      </c>
    </row>
    <row r="246" spans="1:16" ht="15.75" customHeight="1" collapsed="1" x14ac:dyDescent="0.2"/>
    <row r="247" spans="1:16" ht="15.75" customHeight="1" x14ac:dyDescent="0.25">
      <c r="A247" s="376">
        <v>45839</v>
      </c>
      <c r="B247" s="377"/>
      <c r="C247" s="377"/>
      <c r="D247" s="377"/>
      <c r="E247" s="377"/>
      <c r="F247" s="377"/>
      <c r="G247" s="377"/>
      <c r="H247" s="377"/>
      <c r="I247" s="378"/>
      <c r="J247" s="271" t="s">
        <v>156</v>
      </c>
      <c r="K247" s="269">
        <f>SUM(K249:K259)</f>
        <v>4.9334059311699192E-4</v>
      </c>
      <c r="L247" s="287">
        <f>SUM(L249:L259)</f>
        <v>57.781325053463135</v>
      </c>
      <c r="M247" s="272">
        <f t="array" ref="M247">EXP(SUM(IF(M249:M259&gt;0,LN(1+M249:M259),0))) - 1</f>
        <v>5.4969611785059103E-2</v>
      </c>
      <c r="N247" s="384"/>
      <c r="O247" s="385"/>
      <c r="P247" s="386"/>
    </row>
    <row r="248" spans="1:16" ht="15.75" hidden="1" customHeight="1" outlineLevel="1" x14ac:dyDescent="0.25">
      <c r="A248" s="102" t="s">
        <v>96</v>
      </c>
      <c r="B248" s="102" t="s">
        <v>38</v>
      </c>
      <c r="C248" s="102" t="s">
        <v>97</v>
      </c>
      <c r="D248" s="102" t="s">
        <v>167</v>
      </c>
      <c r="E248" s="102" t="s">
        <v>168</v>
      </c>
      <c r="F248" s="102" t="s">
        <v>41</v>
      </c>
      <c r="G248" s="102" t="s">
        <v>42</v>
      </c>
      <c r="H248" s="103" t="s">
        <v>169</v>
      </c>
      <c r="I248" s="277" t="s">
        <v>165</v>
      </c>
      <c r="J248" s="278" t="s">
        <v>166</v>
      </c>
      <c r="K248" s="382" t="s">
        <v>164</v>
      </c>
      <c r="L248" s="383"/>
      <c r="M248" s="102" t="s">
        <v>2</v>
      </c>
      <c r="N248" s="103" t="s">
        <v>155</v>
      </c>
      <c r="O248" s="103" t="s">
        <v>47</v>
      </c>
      <c r="P248" s="103" t="s">
        <v>58</v>
      </c>
    </row>
    <row r="249" spans="1:16" ht="15.75" hidden="1" customHeight="1" outlineLevel="1" x14ac:dyDescent="0.25">
      <c r="A249" s="275" t="s">
        <v>154</v>
      </c>
      <c r="B249" s="275" t="s">
        <v>67</v>
      </c>
      <c r="C249" s="273">
        <v>115079.23</v>
      </c>
      <c r="D249" s="273">
        <v>117933.99</v>
      </c>
      <c r="E249" s="274">
        <v>0.376</v>
      </c>
      <c r="F249" s="282">
        <v>121000</v>
      </c>
      <c r="G249" s="274">
        <f>IF(A249&lt;&gt;"",IF(C249&gt;0,ABS(C249-F249)/C249,0),0)</f>
        <v>5.144951004625252E-2</v>
      </c>
      <c r="H249" s="275">
        <v>3</v>
      </c>
      <c r="I249" s="276">
        <v>1.9130000000000001E-2</v>
      </c>
      <c r="J249" s="283">
        <f>I249*C249</f>
        <v>2201.4656699000002</v>
      </c>
      <c r="K249" s="276">
        <v>5.7389999999999998E-5</v>
      </c>
      <c r="L249" s="301">
        <f t="shared" ref="L249:L259" si="96">K249*C249</f>
        <v>6.6043970096999995</v>
      </c>
      <c r="M249" s="274">
        <f>IF(J249&gt;0,L249/J249,0)</f>
        <v>2.9999999999999996E-3</v>
      </c>
      <c r="N249" s="285">
        <v>45870</v>
      </c>
      <c r="O249" s="275">
        <f ca="1">IF(N249&lt;&gt;"",IF(N249-TODAY()&lt;1,0,N249-TODAY()),"")</f>
        <v>0</v>
      </c>
      <c r="P249" s="289" t="str">
        <f t="shared" ref="P249:P259" si="97">IF(A249&lt;&gt;"",IF(B249="CALL",(IF(C249&gt;=F249,"SIM","NÃO")),IF(B249="PUT",(IF(C249&lt;F249,"SIM","NÃO")),"FECHADO")),"")</f>
        <v>NÃO</v>
      </c>
    </row>
    <row r="250" spans="1:16" ht="15.75" hidden="1" customHeight="1" outlineLevel="1" x14ac:dyDescent="0.25">
      <c r="A250" s="275" t="s">
        <v>154</v>
      </c>
      <c r="B250" s="275" t="s">
        <v>67</v>
      </c>
      <c r="C250" s="273">
        <v>118928.19</v>
      </c>
      <c r="D250" s="273">
        <v>117933.99</v>
      </c>
      <c r="E250" s="274">
        <v>0.32700000000000001</v>
      </c>
      <c r="F250" s="282">
        <v>119000</v>
      </c>
      <c r="G250" s="274">
        <f>IF(A250&lt;&gt;"",IF(C250&gt;0,ABS(C250-F250)/C250,0),0)</f>
        <v>6.0380974435075212E-4</v>
      </c>
      <c r="H250" s="275">
        <v>4</v>
      </c>
      <c r="I250" s="276">
        <v>1.9060000000000001E-2</v>
      </c>
      <c r="J250" s="283">
        <f>I250*C250</f>
        <v>2266.7713014000001</v>
      </c>
      <c r="K250" s="276">
        <v>6.6710000000000003E-5</v>
      </c>
      <c r="L250" s="301">
        <f t="shared" si="96"/>
        <v>7.9336995549000005</v>
      </c>
      <c r="M250" s="274">
        <f>IF(J250&gt;0,L250/J250,0)</f>
        <v>3.5000000000000001E-3</v>
      </c>
      <c r="N250" s="285">
        <v>45867</v>
      </c>
      <c r="O250" s="275">
        <f ca="1">IF(N250&lt;&gt;"",IF(N250-TODAY()&lt;1,0,N250-TODAY()),"")</f>
        <v>0</v>
      </c>
      <c r="P250" s="289" t="str">
        <f t="shared" si="97"/>
        <v>NÃO</v>
      </c>
    </row>
    <row r="251" spans="1:16" ht="15.75" hidden="1" customHeight="1" outlineLevel="1" x14ac:dyDescent="0.25">
      <c r="A251" s="275" t="s">
        <v>154</v>
      </c>
      <c r="B251" s="275" t="s">
        <v>50</v>
      </c>
      <c r="C251" s="273">
        <v>115199.62</v>
      </c>
      <c r="D251" s="273">
        <v>117934</v>
      </c>
      <c r="E251" s="274">
        <v>0.51590000000000003</v>
      </c>
      <c r="F251" s="302">
        <v>117000</v>
      </c>
      <c r="G251" s="274">
        <f t="shared" ref="G251:G256" si="98">IF(A251&lt;&gt;"",ABS(C251-F251)/C251,0)</f>
        <v>1.5628350162960648E-2</v>
      </c>
      <c r="H251" s="275">
        <v>3</v>
      </c>
      <c r="I251" s="276">
        <f>J251/C251</f>
        <v>1.0824688484215488E-3</v>
      </c>
      <c r="J251" s="283">
        <v>124.7</v>
      </c>
      <c r="K251" s="276">
        <f t="shared" ref="K251:K259" si="99">(E251/365)*H251*I251</f>
        <v>4.5899644841151537E-6</v>
      </c>
      <c r="L251" s="301">
        <f t="shared" si="96"/>
        <v>0.52876216438356172</v>
      </c>
      <c r="M251" s="274">
        <f>IF(J251&gt;0,L251/J251,0)</f>
        <v>4.2402739726027398E-3</v>
      </c>
      <c r="N251" s="285">
        <v>45863</v>
      </c>
      <c r="O251" s="275">
        <f t="shared" ref="O251:O259" ca="1" si="100">IF(N251-TODAY()&lt;1,0,N251-TODAY())</f>
        <v>0</v>
      </c>
      <c r="P251" s="290" t="str">
        <f t="shared" si="97"/>
        <v>SIM</v>
      </c>
    </row>
    <row r="252" spans="1:16" ht="15.75" hidden="1" customHeight="1" outlineLevel="1" x14ac:dyDescent="0.25">
      <c r="A252" s="275" t="s">
        <v>154</v>
      </c>
      <c r="B252" s="275" t="s">
        <v>67</v>
      </c>
      <c r="C252" s="273">
        <v>115199.62</v>
      </c>
      <c r="D252" s="273">
        <v>117947.8</v>
      </c>
      <c r="E252" s="274">
        <v>0.44800000000000001</v>
      </c>
      <c r="F252" s="302">
        <v>120500</v>
      </c>
      <c r="G252" s="274">
        <f t="shared" si="98"/>
        <v>4.6010394825955196E-2</v>
      </c>
      <c r="H252" s="275">
        <v>3</v>
      </c>
      <c r="I252" s="276">
        <v>1.7930000000000001E-2</v>
      </c>
      <c r="J252" s="283">
        <f>I252*C252</f>
        <v>2065.5291866000002</v>
      </c>
      <c r="K252" s="276">
        <f t="shared" si="99"/>
        <v>6.6021698630137001E-5</v>
      </c>
      <c r="L252" s="301">
        <f t="shared" si="96"/>
        <v>7.6056745939463024</v>
      </c>
      <c r="M252" s="274">
        <f t="shared" ref="M252:M259" si="101">IF(J252&gt;0,L252/J252,0)</f>
        <v>3.682191780821918E-3</v>
      </c>
      <c r="N252" s="285">
        <v>45863</v>
      </c>
      <c r="O252" s="275">
        <f t="shared" ca="1" si="100"/>
        <v>0</v>
      </c>
      <c r="P252" s="289" t="str">
        <f t="shared" si="97"/>
        <v>NÃO</v>
      </c>
    </row>
    <row r="253" spans="1:16" ht="15.75" hidden="1" customHeight="1" outlineLevel="1" x14ac:dyDescent="0.25">
      <c r="A253" s="275" t="s">
        <v>154</v>
      </c>
      <c r="B253" s="275" t="s">
        <v>50</v>
      </c>
      <c r="C253" s="273">
        <v>118130.26</v>
      </c>
      <c r="D253" s="273">
        <v>117947.8</v>
      </c>
      <c r="E253" s="274">
        <v>1.3101</v>
      </c>
      <c r="F253" s="302">
        <v>117500</v>
      </c>
      <c r="G253" s="274">
        <f t="shared" si="98"/>
        <v>5.3352968155660945E-3</v>
      </c>
      <c r="H253" s="275">
        <v>1</v>
      </c>
      <c r="I253" s="276">
        <v>1.0522299999999999E-3</v>
      </c>
      <c r="J253" s="283">
        <v>124.3</v>
      </c>
      <c r="K253" s="276">
        <f t="shared" si="99"/>
        <v>3.7767849945205479E-6</v>
      </c>
      <c r="L253" s="301">
        <f t="shared" si="96"/>
        <v>0.4461525933668109</v>
      </c>
      <c r="M253" s="274">
        <f t="shared" si="101"/>
        <v>3.589320944222131E-3</v>
      </c>
      <c r="N253" s="285">
        <v>45860</v>
      </c>
      <c r="O253" s="275">
        <f t="shared" ca="1" si="100"/>
        <v>0</v>
      </c>
      <c r="P253" s="289" t="str">
        <f t="shared" si="97"/>
        <v>NÃO</v>
      </c>
    </row>
    <row r="254" spans="1:16" ht="15.75" hidden="1" customHeight="1" outlineLevel="1" x14ac:dyDescent="0.25">
      <c r="A254" s="275" t="s">
        <v>154</v>
      </c>
      <c r="B254" s="275" t="s">
        <v>67</v>
      </c>
      <c r="C254" s="273">
        <v>118130.26</v>
      </c>
      <c r="D254" s="273">
        <v>117947.79</v>
      </c>
      <c r="E254" s="274">
        <v>0.41599999999999998</v>
      </c>
      <c r="F254" s="302">
        <v>121000</v>
      </c>
      <c r="G254" s="274">
        <f t="shared" si="98"/>
        <v>2.429301349205534E-2</v>
      </c>
      <c r="H254" s="275">
        <v>4</v>
      </c>
      <c r="I254" s="276">
        <v>1.7850000000000001E-2</v>
      </c>
      <c r="J254" s="283">
        <f t="shared" ref="J254:J259" si="102">I254*C254</f>
        <v>2108.625141</v>
      </c>
      <c r="K254" s="276">
        <f t="shared" si="99"/>
        <v>8.1376438356164384E-5</v>
      </c>
      <c r="L254" s="301">
        <f t="shared" si="96"/>
        <v>9.6130198208876703</v>
      </c>
      <c r="M254" s="274">
        <f t="shared" si="101"/>
        <v>4.5589041095890409E-3</v>
      </c>
      <c r="N254" s="285">
        <v>45860</v>
      </c>
      <c r="O254" s="275">
        <f t="shared" ca="1" si="100"/>
        <v>0</v>
      </c>
      <c r="P254" s="289" t="str">
        <f t="shared" si="97"/>
        <v>NÃO</v>
      </c>
    </row>
    <row r="255" spans="1:16" ht="15.75" hidden="1" customHeight="1" outlineLevel="1" x14ac:dyDescent="0.25">
      <c r="A255" s="275" t="s">
        <v>154</v>
      </c>
      <c r="B255" s="275" t="s">
        <v>50</v>
      </c>
      <c r="C255" s="273">
        <v>116285.45</v>
      </c>
      <c r="D255" s="273">
        <v>117947.79</v>
      </c>
      <c r="E255" s="274">
        <v>0.96399999999999997</v>
      </c>
      <c r="F255" s="302">
        <v>118500</v>
      </c>
      <c r="G255" s="274">
        <f t="shared" si="98"/>
        <v>1.9044085051053275E-2</v>
      </c>
      <c r="H255" s="275">
        <v>3</v>
      </c>
      <c r="I255" s="276">
        <v>2.5100000000000001E-6</v>
      </c>
      <c r="J255" s="283">
        <f t="shared" si="102"/>
        <v>0.29187647950000001</v>
      </c>
      <c r="K255" s="276">
        <f t="shared" si="99"/>
        <v>1.9887452054794518E-8</v>
      </c>
      <c r="L255" s="301">
        <f t="shared" si="96"/>
        <v>2.3126213115452049E-3</v>
      </c>
      <c r="M255" s="274">
        <f t="shared" si="101"/>
        <v>7.9232876712328742E-3</v>
      </c>
      <c r="N255" s="285">
        <v>45856</v>
      </c>
      <c r="O255" s="275">
        <f t="shared" ca="1" si="100"/>
        <v>0</v>
      </c>
      <c r="P255" s="290" t="str">
        <f t="shared" si="97"/>
        <v>SIM</v>
      </c>
    </row>
    <row r="256" spans="1:16" ht="15.75" hidden="1" customHeight="1" outlineLevel="1" x14ac:dyDescent="0.25">
      <c r="A256" s="275" t="s">
        <v>154</v>
      </c>
      <c r="B256" s="275" t="s">
        <v>67</v>
      </c>
      <c r="C256" s="273">
        <v>119658</v>
      </c>
      <c r="D256" s="273">
        <v>117947.8</v>
      </c>
      <c r="E256" s="274">
        <v>0.30220000000000002</v>
      </c>
      <c r="F256" s="302">
        <v>120000</v>
      </c>
      <c r="G256" s="274">
        <f t="shared" si="98"/>
        <v>2.8581457152885726E-3</v>
      </c>
      <c r="H256" s="275">
        <v>3</v>
      </c>
      <c r="I256" s="276">
        <v>1.7350000000000001E-2</v>
      </c>
      <c r="J256" s="283">
        <f t="shared" si="102"/>
        <v>2076.0663</v>
      </c>
      <c r="K256" s="276">
        <f t="shared" si="99"/>
        <v>4.3094547945205483E-5</v>
      </c>
      <c r="L256" s="301">
        <f t="shared" si="96"/>
        <v>5.1566074180273977</v>
      </c>
      <c r="M256" s="274">
        <f t="shared" si="101"/>
        <v>2.4838356164383563E-3</v>
      </c>
      <c r="N256" s="285">
        <v>45856</v>
      </c>
      <c r="O256" s="275">
        <f t="shared" ca="1" si="100"/>
        <v>0</v>
      </c>
      <c r="P256" s="289" t="str">
        <f t="shared" si="97"/>
        <v>NÃO</v>
      </c>
    </row>
    <row r="257" spans="1:16" ht="15.75" hidden="1" customHeight="1" outlineLevel="1" x14ac:dyDescent="0.25">
      <c r="A257" s="275" t="s">
        <v>154</v>
      </c>
      <c r="B257" s="275" t="s">
        <v>67</v>
      </c>
      <c r="C257" s="273">
        <v>116755</v>
      </c>
      <c r="D257" s="273">
        <v>117947.8</v>
      </c>
      <c r="E257" s="274">
        <v>0.9032</v>
      </c>
      <c r="F257" s="302">
        <v>118000</v>
      </c>
      <c r="G257" s="274">
        <v>4.3E-3</v>
      </c>
      <c r="H257" s="275">
        <v>4</v>
      </c>
      <c r="I257" s="276">
        <v>1.702E-2</v>
      </c>
      <c r="J257" s="283">
        <f t="shared" si="102"/>
        <v>1987.1701</v>
      </c>
      <c r="K257" s="276">
        <f t="shared" si="99"/>
        <v>1.6846535890410958E-4</v>
      </c>
      <c r="L257" s="301">
        <f t="shared" si="96"/>
        <v>19.669172978849314</v>
      </c>
      <c r="M257" s="274">
        <f t="shared" si="101"/>
        <v>9.8980821917808211E-3</v>
      </c>
      <c r="N257" s="285">
        <v>45853</v>
      </c>
      <c r="O257" s="275">
        <f t="shared" ca="1" si="100"/>
        <v>0</v>
      </c>
      <c r="P257" s="289" t="str">
        <f t="shared" si="97"/>
        <v>NÃO</v>
      </c>
    </row>
    <row r="258" spans="1:16" ht="15.75" hidden="1" customHeight="1" outlineLevel="1" x14ac:dyDescent="0.25">
      <c r="A258" s="275" t="s">
        <v>154</v>
      </c>
      <c r="B258" s="275" t="s">
        <v>67</v>
      </c>
      <c r="C258" s="273">
        <v>116755</v>
      </c>
      <c r="D258" s="273">
        <v>117947.8</v>
      </c>
      <c r="E258" s="274">
        <v>0.9032</v>
      </c>
      <c r="F258" s="302">
        <v>118000</v>
      </c>
      <c r="G258" s="274">
        <v>4.3E-3</v>
      </c>
      <c r="H258" s="275">
        <v>4</v>
      </c>
      <c r="I258" s="276">
        <v>1.7585999999999999E-4</v>
      </c>
      <c r="J258" s="283">
        <f t="shared" si="102"/>
        <v>20.532534299999998</v>
      </c>
      <c r="K258" s="276">
        <f t="shared" si="99"/>
        <v>1.7406767342465751E-6</v>
      </c>
      <c r="L258" s="301">
        <f t="shared" si="96"/>
        <v>0.20323271210695887</v>
      </c>
      <c r="M258" s="274">
        <f t="shared" si="101"/>
        <v>9.8980821917808211E-3</v>
      </c>
      <c r="N258" s="285">
        <v>45853</v>
      </c>
      <c r="O258" s="275">
        <f t="shared" ca="1" si="100"/>
        <v>0</v>
      </c>
      <c r="P258" s="289" t="str">
        <f t="shared" si="97"/>
        <v>NÃO</v>
      </c>
    </row>
    <row r="259" spans="1:16" ht="15" hidden="1" outlineLevel="1" x14ac:dyDescent="0.25">
      <c r="A259" s="275" t="s">
        <v>154</v>
      </c>
      <c r="B259" s="275" t="s">
        <v>67</v>
      </c>
      <c r="C259" s="273">
        <v>117844</v>
      </c>
      <c r="D259" s="273">
        <v>117947.8</v>
      </c>
      <c r="E259" s="274">
        <v>0.33329999999999999</v>
      </c>
      <c r="F259" s="282">
        <v>113000</v>
      </c>
      <c r="G259" s="274">
        <v>4.3E-3</v>
      </c>
      <c r="H259" s="275">
        <v>1</v>
      </c>
      <c r="I259" s="276">
        <v>1.7000000000000001E-4</v>
      </c>
      <c r="J259" s="283">
        <f t="shared" si="102"/>
        <v>20.033480000000001</v>
      </c>
      <c r="K259" s="276">
        <f t="shared" si="99"/>
        <v>1.5523561643835618E-7</v>
      </c>
      <c r="L259" s="301">
        <f t="shared" si="96"/>
        <v>1.8293585983561646E-2</v>
      </c>
      <c r="M259" s="274">
        <f t="shared" si="101"/>
        <v>9.1315068493150696E-4</v>
      </c>
      <c r="N259" s="285">
        <v>45849</v>
      </c>
      <c r="O259" s="275">
        <f t="shared" ca="1" si="100"/>
        <v>0</v>
      </c>
      <c r="P259" s="290" t="str">
        <f t="shared" si="97"/>
        <v>SIM</v>
      </c>
    </row>
    <row r="260" spans="1:16" collapsed="1" x14ac:dyDescent="0.2"/>
  </sheetData>
  <autoFilter ref="N70:Q123" xr:uid="{00000000-0001-0000-0600-000000000000}"/>
  <dataConsolidate/>
  <mergeCells count="44">
    <mergeCell ref="I7:J7"/>
    <mergeCell ref="K7:L7"/>
    <mergeCell ref="A6:I6"/>
    <mergeCell ref="A30:I30"/>
    <mergeCell ref="N30:O30"/>
    <mergeCell ref="N6:O6"/>
    <mergeCell ref="N174:O174"/>
    <mergeCell ref="K175:L175"/>
    <mergeCell ref="K248:L248"/>
    <mergeCell ref="I1:J1"/>
    <mergeCell ref="K1:L1"/>
    <mergeCell ref="A221:I221"/>
    <mergeCell ref="A247:I247"/>
    <mergeCell ref="A194:I194"/>
    <mergeCell ref="A174:I174"/>
    <mergeCell ref="A169:I169"/>
    <mergeCell ref="N169:O169"/>
    <mergeCell ref="K170:L170"/>
    <mergeCell ref="A165:I165"/>
    <mergeCell ref="N165:O165"/>
    <mergeCell ref="K166:L166"/>
    <mergeCell ref="I162:J162"/>
    <mergeCell ref="N221:P221"/>
    <mergeCell ref="N247:P247"/>
    <mergeCell ref="K222:L222"/>
    <mergeCell ref="N194:P194"/>
    <mergeCell ref="K195:L195"/>
    <mergeCell ref="A69:I69"/>
    <mergeCell ref="N69:O69"/>
    <mergeCell ref="I70:J70"/>
    <mergeCell ref="K70:L70"/>
    <mergeCell ref="K162:L162"/>
    <mergeCell ref="A161:I161"/>
    <mergeCell ref="N161:O161"/>
    <mergeCell ref="A125:I125"/>
    <mergeCell ref="N125:O125"/>
    <mergeCell ref="I126:J126"/>
    <mergeCell ref="K126:L126"/>
    <mergeCell ref="A42:I42"/>
    <mergeCell ref="N42:O42"/>
    <mergeCell ref="I31:J31"/>
    <mergeCell ref="K31:L31"/>
    <mergeCell ref="I43:J43"/>
    <mergeCell ref="K43:L43"/>
  </mergeCells>
  <conditionalFormatting sqref="M247">
    <cfRule type="cellIs" dxfId="616" priority="3768" operator="greaterThan">
      <formula>0</formula>
    </cfRule>
  </conditionalFormatting>
  <conditionalFormatting sqref="M247">
    <cfRule type="cellIs" dxfId="615" priority="3766" operator="greaterThan">
      <formula>0</formula>
    </cfRule>
    <cfRule type="cellIs" dxfId="614" priority="3767" operator="lessThan">
      <formula>0</formula>
    </cfRule>
  </conditionalFormatting>
  <conditionalFormatting sqref="K247">
    <cfRule type="cellIs" dxfId="613" priority="3759" operator="greaterThan">
      <formula>0</formula>
    </cfRule>
  </conditionalFormatting>
  <conditionalFormatting sqref="K247">
    <cfRule type="cellIs" dxfId="612" priority="3758" operator="lessThan">
      <formula>0</formula>
    </cfRule>
  </conditionalFormatting>
  <conditionalFormatting sqref="J247">
    <cfRule type="cellIs" dxfId="611" priority="3756" operator="greaterThan">
      <formula>0</formula>
    </cfRule>
    <cfRule type="cellIs" dxfId="610" priority="3757" operator="lessThan">
      <formula>0</formula>
    </cfRule>
  </conditionalFormatting>
  <conditionalFormatting sqref="J221">
    <cfRule type="cellIs" dxfId="609" priority="3059" operator="greaterThan">
      <formula>0</formula>
    </cfRule>
    <cfRule type="cellIs" dxfId="608" priority="3060" operator="lessThan">
      <formula>0</formula>
    </cfRule>
  </conditionalFormatting>
  <conditionalFormatting sqref="K221">
    <cfRule type="cellIs" dxfId="607" priority="3058" operator="greaterThan">
      <formula>0</formula>
    </cfRule>
  </conditionalFormatting>
  <conditionalFormatting sqref="K221">
    <cfRule type="cellIs" dxfId="606" priority="3057" operator="lessThan">
      <formula>0</formula>
    </cfRule>
  </conditionalFormatting>
  <conditionalFormatting sqref="M221">
    <cfRule type="cellIs" dxfId="605" priority="3056" operator="greaterThan">
      <formula>0</formula>
    </cfRule>
  </conditionalFormatting>
  <conditionalFormatting sqref="M221">
    <cfRule type="cellIs" dxfId="604" priority="3054" operator="greaterThan">
      <formula>0</formula>
    </cfRule>
    <cfRule type="cellIs" dxfId="603" priority="3055" operator="lessThan">
      <formula>0</formula>
    </cfRule>
  </conditionalFormatting>
  <conditionalFormatting sqref="K174">
    <cfRule type="cellIs" dxfId="602" priority="3020" operator="greaterThan">
      <formula>0</formula>
    </cfRule>
  </conditionalFormatting>
  <conditionalFormatting sqref="K174">
    <cfRule type="cellIs" dxfId="601" priority="3019" operator="lessThan">
      <formula>0</formula>
    </cfRule>
  </conditionalFormatting>
  <conditionalFormatting sqref="J174">
    <cfRule type="cellIs" dxfId="600" priority="3017" operator="greaterThan">
      <formula>0</formula>
    </cfRule>
    <cfRule type="cellIs" dxfId="599" priority="3018" operator="lessThan">
      <formula>0</formula>
    </cfRule>
  </conditionalFormatting>
  <conditionalFormatting sqref="M174">
    <cfRule type="cellIs" dxfId="598" priority="3023" operator="greaterThan">
      <formula>0</formula>
    </cfRule>
  </conditionalFormatting>
  <conditionalFormatting sqref="M174">
    <cfRule type="cellIs" dxfId="597" priority="3021" operator="greaterThan">
      <formula>0</formula>
    </cfRule>
    <cfRule type="cellIs" dxfId="596" priority="3022" operator="lessThan">
      <formula>0</formula>
    </cfRule>
  </conditionalFormatting>
  <conditionalFormatting sqref="J194">
    <cfRule type="cellIs" dxfId="595" priority="3000" operator="greaterThan">
      <formula>0</formula>
    </cfRule>
    <cfRule type="cellIs" dxfId="594" priority="3001" operator="lessThan">
      <formula>0</formula>
    </cfRule>
  </conditionalFormatting>
  <conditionalFormatting sqref="K194">
    <cfRule type="cellIs" dxfId="593" priority="2999" operator="greaterThan">
      <formula>0</formula>
    </cfRule>
  </conditionalFormatting>
  <conditionalFormatting sqref="K194">
    <cfRule type="cellIs" dxfId="592" priority="2998" operator="lessThan">
      <formula>0</formula>
    </cfRule>
  </conditionalFormatting>
  <conditionalFormatting sqref="M194">
    <cfRule type="cellIs" dxfId="591" priority="2997" operator="greaterThan">
      <formula>0</formula>
    </cfRule>
  </conditionalFormatting>
  <conditionalFormatting sqref="M194">
    <cfRule type="cellIs" dxfId="590" priority="2995" operator="greaterThan">
      <formula>0</formula>
    </cfRule>
    <cfRule type="cellIs" dxfId="589" priority="2996" operator="lessThan">
      <formula>0</formula>
    </cfRule>
  </conditionalFormatting>
  <conditionalFormatting sqref="P174">
    <cfRule type="cellIs" dxfId="588" priority="2859" operator="greaterThan">
      <formula>0</formula>
    </cfRule>
  </conditionalFormatting>
  <conditionalFormatting sqref="P174">
    <cfRule type="cellIs" dxfId="587" priority="2857" operator="greaterThan">
      <formula>0</formula>
    </cfRule>
    <cfRule type="cellIs" dxfId="586" priority="2858" operator="lessThan">
      <formula>0</formula>
    </cfRule>
  </conditionalFormatting>
  <conditionalFormatting sqref="L193">
    <cfRule type="cellIs" dxfId="585" priority="2780" operator="lessThan">
      <formula>0</formula>
    </cfRule>
  </conditionalFormatting>
  <conditionalFormatting sqref="L193">
    <cfRule type="cellIs" dxfId="584" priority="2781" operator="greaterThan">
      <formula>0</formula>
    </cfRule>
  </conditionalFormatting>
  <conditionalFormatting sqref="K169">
    <cfRule type="cellIs" dxfId="583" priority="2731" operator="greaterThan">
      <formula>0</formula>
    </cfRule>
  </conditionalFormatting>
  <conditionalFormatting sqref="K169">
    <cfRule type="cellIs" dxfId="582" priority="2730" operator="lessThan">
      <formula>0</formula>
    </cfRule>
  </conditionalFormatting>
  <conditionalFormatting sqref="J169">
    <cfRule type="cellIs" dxfId="581" priority="2728" operator="greaterThan">
      <formula>0</formula>
    </cfRule>
    <cfRule type="cellIs" dxfId="580" priority="2729" operator="lessThan">
      <formula>0</formula>
    </cfRule>
  </conditionalFormatting>
  <conditionalFormatting sqref="M169">
    <cfRule type="cellIs" dxfId="579" priority="2734" operator="greaterThan">
      <formula>0</formula>
    </cfRule>
  </conditionalFormatting>
  <conditionalFormatting sqref="M169">
    <cfRule type="cellIs" dxfId="578" priority="2732" operator="greaterThan">
      <formula>0</formula>
    </cfRule>
    <cfRule type="cellIs" dxfId="577" priority="2733" operator="lessThan">
      <formula>0</formula>
    </cfRule>
  </conditionalFormatting>
  <conditionalFormatting sqref="P169">
    <cfRule type="cellIs" dxfId="576" priority="2727" operator="greaterThan">
      <formula>0</formula>
    </cfRule>
  </conditionalFormatting>
  <conditionalFormatting sqref="P169">
    <cfRule type="cellIs" dxfId="575" priority="2725" operator="greaterThan">
      <formula>0</formula>
    </cfRule>
    <cfRule type="cellIs" dxfId="574" priority="2726" operator="lessThan">
      <formula>0</formula>
    </cfRule>
  </conditionalFormatting>
  <conditionalFormatting sqref="P171:P172 A172:O172">
    <cfRule type="cellIs" dxfId="573" priority="2710" operator="lessThan">
      <formula>0</formula>
    </cfRule>
  </conditionalFormatting>
  <conditionalFormatting sqref="H171 K171">
    <cfRule type="cellIs" dxfId="572" priority="2724" operator="greaterThan">
      <formula>0</formula>
    </cfRule>
  </conditionalFormatting>
  <conditionalFormatting sqref="F171">
    <cfRule type="expression" dxfId="571" priority="2721">
      <formula>F171&gt;C171</formula>
    </cfRule>
    <cfRule type="expression" dxfId="570" priority="2722">
      <formula>F171&lt;=C171</formula>
    </cfRule>
  </conditionalFormatting>
  <conditionalFormatting sqref="C171:E171">
    <cfRule type="cellIs" dxfId="569" priority="2719" operator="greaterThan">
      <formula>0</formula>
    </cfRule>
    <cfRule type="cellIs" dxfId="568" priority="2720" operator="lessThan">
      <formula>0</formula>
    </cfRule>
  </conditionalFormatting>
  <conditionalFormatting sqref="K171">
    <cfRule type="cellIs" dxfId="567" priority="2723" operator="lessThan">
      <formula>0</formula>
    </cfRule>
  </conditionalFormatting>
  <conditionalFormatting sqref="G171">
    <cfRule type="cellIs" dxfId="566" priority="2718" operator="greaterThan">
      <formula>0</formula>
    </cfRule>
  </conditionalFormatting>
  <conditionalFormatting sqref="G171">
    <cfRule type="cellIs" dxfId="565" priority="2716" operator="greaterThan">
      <formula>0</formula>
    </cfRule>
    <cfRule type="cellIs" dxfId="564" priority="2717" operator="lessThan">
      <formula>0</formula>
    </cfRule>
  </conditionalFormatting>
  <conditionalFormatting sqref="M171">
    <cfRule type="cellIs" dxfId="563" priority="2714" operator="lessThan">
      <formula>0</formula>
    </cfRule>
  </conditionalFormatting>
  <conditionalFormatting sqref="M171">
    <cfRule type="cellIs" dxfId="562" priority="2715" operator="greaterThan">
      <formula>0</formula>
    </cfRule>
  </conditionalFormatting>
  <conditionalFormatting sqref="L171">
    <cfRule type="cellIs" dxfId="561" priority="2713" operator="greaterThan">
      <formula>0</formula>
    </cfRule>
  </conditionalFormatting>
  <conditionalFormatting sqref="L171">
    <cfRule type="cellIs" dxfId="560" priority="2712" operator="lessThan">
      <formula>0</formula>
    </cfRule>
  </conditionalFormatting>
  <conditionalFormatting sqref="P171:P172 A172:O172">
    <cfRule type="cellIs" dxfId="559" priority="2711" operator="greaterThan">
      <formula>0</formula>
    </cfRule>
  </conditionalFormatting>
  <conditionalFormatting sqref="K165">
    <cfRule type="cellIs" dxfId="558" priority="2706" operator="greaterThan">
      <formula>0</formula>
    </cfRule>
  </conditionalFormatting>
  <conditionalFormatting sqref="K165">
    <cfRule type="cellIs" dxfId="557" priority="2705" operator="lessThan">
      <formula>0</formula>
    </cfRule>
  </conditionalFormatting>
  <conditionalFormatting sqref="J165">
    <cfRule type="cellIs" dxfId="556" priority="2703" operator="greaterThan">
      <formula>0</formula>
    </cfRule>
    <cfRule type="cellIs" dxfId="555" priority="2704" operator="lessThan">
      <formula>0</formula>
    </cfRule>
  </conditionalFormatting>
  <conditionalFormatting sqref="M165">
    <cfRule type="cellIs" dxfId="554" priority="2709" operator="greaterThan">
      <formula>0</formula>
    </cfRule>
  </conditionalFormatting>
  <conditionalFormatting sqref="M165">
    <cfRule type="cellIs" dxfId="553" priority="2707" operator="greaterThan">
      <formula>0</formula>
    </cfRule>
    <cfRule type="cellIs" dxfId="552" priority="2708" operator="lessThan">
      <formula>0</formula>
    </cfRule>
  </conditionalFormatting>
  <conditionalFormatting sqref="P165">
    <cfRule type="cellIs" dxfId="551" priority="2702" operator="greaterThan">
      <formula>0</formula>
    </cfRule>
  </conditionalFormatting>
  <conditionalFormatting sqref="P165">
    <cfRule type="cellIs" dxfId="550" priority="2700" operator="greaterThan">
      <formula>0</formula>
    </cfRule>
    <cfRule type="cellIs" dxfId="549" priority="2701" operator="lessThan">
      <formula>0</formula>
    </cfRule>
  </conditionalFormatting>
  <conditionalFormatting sqref="G163">
    <cfRule type="cellIs" dxfId="548" priority="2663" operator="greaterThan">
      <formula>0</formula>
    </cfRule>
  </conditionalFormatting>
  <conditionalFormatting sqref="H163 K163">
    <cfRule type="cellIs" dxfId="547" priority="2669" operator="greaterThan">
      <formula>0</formula>
    </cfRule>
  </conditionalFormatting>
  <conditionalFormatting sqref="F163">
    <cfRule type="expression" dxfId="546" priority="2666">
      <formula>F163&gt;C163</formula>
    </cfRule>
    <cfRule type="expression" dxfId="545" priority="2667">
      <formula>F163&lt;=C163</formula>
    </cfRule>
  </conditionalFormatting>
  <conditionalFormatting sqref="C163:E163">
    <cfRule type="cellIs" dxfId="544" priority="2664" operator="greaterThan">
      <formula>0</formula>
    </cfRule>
    <cfRule type="cellIs" dxfId="543" priority="2665" operator="lessThan">
      <formula>0</formula>
    </cfRule>
  </conditionalFormatting>
  <conditionalFormatting sqref="K163">
    <cfRule type="cellIs" dxfId="542" priority="2668" operator="lessThan">
      <formula>0</formula>
    </cfRule>
  </conditionalFormatting>
  <conditionalFormatting sqref="G163">
    <cfRule type="cellIs" dxfId="541" priority="2661" operator="greaterThan">
      <formula>0</formula>
    </cfRule>
    <cfRule type="cellIs" dxfId="540" priority="2662" operator="lessThan">
      <formula>0</formula>
    </cfRule>
  </conditionalFormatting>
  <conditionalFormatting sqref="M163">
    <cfRule type="cellIs" dxfId="539" priority="2659" operator="lessThan">
      <formula>0</formula>
    </cfRule>
  </conditionalFormatting>
  <conditionalFormatting sqref="M163">
    <cfRule type="cellIs" dxfId="538" priority="2660" operator="greaterThan">
      <formula>0</formula>
    </cfRule>
  </conditionalFormatting>
  <conditionalFormatting sqref="L163">
    <cfRule type="cellIs" dxfId="537" priority="2658" operator="greaterThan">
      <formula>0</formula>
    </cfRule>
  </conditionalFormatting>
  <conditionalFormatting sqref="L163">
    <cfRule type="cellIs" dxfId="536" priority="2657" operator="lessThan">
      <formula>0</formula>
    </cfRule>
  </conditionalFormatting>
  <conditionalFormatting sqref="P163">
    <cfRule type="cellIs" dxfId="535" priority="2655" operator="lessThan">
      <formula>0</formula>
    </cfRule>
  </conditionalFormatting>
  <conditionalFormatting sqref="P163">
    <cfRule type="cellIs" dxfId="534" priority="2656" operator="greaterThan">
      <formula>0</formula>
    </cfRule>
  </conditionalFormatting>
  <conditionalFormatting sqref="M2">
    <cfRule type="cellIs" dxfId="533" priority="2209" operator="greaterThan">
      <formula>0</formula>
    </cfRule>
  </conditionalFormatting>
  <conditionalFormatting sqref="M2">
    <cfRule type="cellIs" dxfId="532" priority="2208" operator="lessThan">
      <formula>0</formula>
    </cfRule>
  </conditionalFormatting>
  <conditionalFormatting sqref="C2:E2">
    <cfRule type="cellIs" dxfId="531" priority="2201" operator="greaterThan">
      <formula>0</formula>
    </cfRule>
    <cfRule type="cellIs" dxfId="530" priority="2202" operator="lessThan">
      <formula>0</formula>
    </cfRule>
  </conditionalFormatting>
  <conditionalFormatting sqref="G2">
    <cfRule type="cellIs" dxfId="529" priority="2200" operator="greaterThan">
      <formula>0</formula>
    </cfRule>
  </conditionalFormatting>
  <conditionalFormatting sqref="P2">
    <cfRule type="cellIs" dxfId="528" priority="2196" operator="lessThan">
      <formula>0</formula>
    </cfRule>
  </conditionalFormatting>
  <conditionalFormatting sqref="P2">
    <cfRule type="cellIs" dxfId="527" priority="2197" operator="greaterThan">
      <formula>0</formula>
    </cfRule>
  </conditionalFormatting>
  <conditionalFormatting sqref="K2">
    <cfRule type="cellIs" dxfId="526" priority="2211" operator="greaterThan">
      <formula>0</formula>
    </cfRule>
  </conditionalFormatting>
  <conditionalFormatting sqref="K2">
    <cfRule type="cellIs" dxfId="525" priority="2210" operator="lessThan">
      <formula>0</formula>
    </cfRule>
  </conditionalFormatting>
  <conditionalFormatting sqref="L2">
    <cfRule type="cellIs" dxfId="524" priority="2207" operator="greaterThan">
      <formula>0</formula>
    </cfRule>
  </conditionalFormatting>
  <conditionalFormatting sqref="L2">
    <cfRule type="cellIs" dxfId="523" priority="2206" operator="lessThan">
      <formula>0</formula>
    </cfRule>
  </conditionalFormatting>
  <conditionalFormatting sqref="H2">
    <cfRule type="cellIs" dxfId="522" priority="2205" operator="greaterThan">
      <formula>0</formula>
    </cfRule>
  </conditionalFormatting>
  <conditionalFormatting sqref="F2">
    <cfRule type="expression" dxfId="521" priority="2203">
      <formula>F2&gt;C2</formula>
    </cfRule>
    <cfRule type="expression" dxfId="520" priority="2204">
      <formula>F2&lt;=C2</formula>
    </cfRule>
  </conditionalFormatting>
  <conditionalFormatting sqref="G2">
    <cfRule type="cellIs" dxfId="519" priority="2198" operator="greaterThan">
      <formula>0</formula>
    </cfRule>
    <cfRule type="cellIs" dxfId="518" priority="2199" operator="lessThan">
      <formula>0</formula>
    </cfRule>
  </conditionalFormatting>
  <conditionalFormatting sqref="M161">
    <cfRule type="cellIs" dxfId="517" priority="2035" operator="greaterThan">
      <formula>0</formula>
    </cfRule>
  </conditionalFormatting>
  <conditionalFormatting sqref="K161">
    <cfRule type="cellIs" dxfId="516" priority="2032" operator="greaterThan">
      <formula>0</formula>
    </cfRule>
  </conditionalFormatting>
  <conditionalFormatting sqref="K161">
    <cfRule type="cellIs" dxfId="515" priority="2031" operator="lessThan">
      <formula>0</formula>
    </cfRule>
  </conditionalFormatting>
  <conditionalFormatting sqref="P161">
    <cfRule type="cellIs" dxfId="514" priority="2028" operator="greaterThan">
      <formula>0</formula>
    </cfRule>
  </conditionalFormatting>
  <conditionalFormatting sqref="M69">
    <cfRule type="cellIs" dxfId="513" priority="2010" operator="greaterThan">
      <formula>0</formula>
    </cfRule>
  </conditionalFormatting>
  <conditionalFormatting sqref="J161">
    <cfRule type="cellIs" dxfId="512" priority="2029" operator="greaterThan">
      <formula>0</formula>
    </cfRule>
    <cfRule type="cellIs" dxfId="511" priority="2030" operator="lessThan">
      <formula>0</formula>
    </cfRule>
  </conditionalFormatting>
  <conditionalFormatting sqref="M161">
    <cfRule type="cellIs" dxfId="510" priority="2033" operator="greaterThan">
      <formula>0</formula>
    </cfRule>
    <cfRule type="cellIs" dxfId="509" priority="2034" operator="lessThan">
      <formula>0</formula>
    </cfRule>
  </conditionalFormatting>
  <conditionalFormatting sqref="P161">
    <cfRule type="cellIs" dxfId="508" priority="2026" operator="greaterThan">
      <formula>0</formula>
    </cfRule>
    <cfRule type="cellIs" dxfId="507" priority="2027" operator="lessThan">
      <formula>0</formula>
    </cfRule>
  </conditionalFormatting>
  <conditionalFormatting sqref="P69">
    <cfRule type="cellIs" dxfId="506" priority="2003" operator="greaterThan">
      <formula>0</formula>
    </cfRule>
  </conditionalFormatting>
  <conditionalFormatting sqref="J69">
    <cfRule type="cellIs" dxfId="505" priority="2004" operator="greaterThan">
      <formula>0</formula>
    </cfRule>
    <cfRule type="cellIs" dxfId="504" priority="2005" operator="lessThan">
      <formula>0</formula>
    </cfRule>
  </conditionalFormatting>
  <conditionalFormatting sqref="P69">
    <cfRule type="cellIs" dxfId="503" priority="2001" operator="greaterThan">
      <formula>0</formula>
    </cfRule>
    <cfRule type="cellIs" dxfId="502" priority="2002" operator="lessThan">
      <formula>0</formula>
    </cfRule>
  </conditionalFormatting>
  <conditionalFormatting sqref="K69">
    <cfRule type="cellIs" dxfId="501" priority="2007" operator="greaterThan">
      <formula>0</formula>
    </cfRule>
  </conditionalFormatting>
  <conditionalFormatting sqref="K69">
    <cfRule type="cellIs" dxfId="500" priority="2006" operator="lessThan">
      <formula>0</formula>
    </cfRule>
  </conditionalFormatting>
  <conditionalFormatting sqref="M69">
    <cfRule type="cellIs" dxfId="499" priority="2008" operator="greaterThan">
      <formula>0</formula>
    </cfRule>
    <cfRule type="cellIs" dxfId="498" priority="2009" operator="lessThan">
      <formula>0</formula>
    </cfRule>
  </conditionalFormatting>
  <conditionalFormatting sqref="M125">
    <cfRule type="cellIs" dxfId="497" priority="1569" operator="greaterThan">
      <formula>0</formula>
    </cfRule>
  </conditionalFormatting>
  <conditionalFormatting sqref="J125">
    <cfRule type="cellIs" dxfId="496" priority="1570" operator="greaterThan">
      <formula>0</formula>
    </cfRule>
    <cfRule type="cellIs" dxfId="495" priority="1571" operator="lessThan">
      <formula>0</formula>
    </cfRule>
  </conditionalFormatting>
  <conditionalFormatting sqref="Q2">
    <cfRule type="cellIs" dxfId="494" priority="1540" operator="greaterThan">
      <formula>0</formula>
    </cfRule>
    <cfRule type="cellIs" dxfId="493" priority="1541" operator="lessThan">
      <formula>0</formula>
    </cfRule>
  </conditionalFormatting>
  <conditionalFormatting sqref="M125">
    <cfRule type="cellIs" dxfId="492" priority="1567" operator="greaterThan">
      <formula>0</formula>
    </cfRule>
    <cfRule type="cellIs" dxfId="491" priority="1568" operator="lessThan">
      <formula>0</formula>
    </cfRule>
  </conditionalFormatting>
  <conditionalFormatting sqref="K125">
    <cfRule type="cellIs" dxfId="490" priority="1566" operator="greaterThan">
      <formula>0</formula>
    </cfRule>
  </conditionalFormatting>
  <conditionalFormatting sqref="K125">
    <cfRule type="cellIs" dxfId="489" priority="1565" operator="lessThan">
      <formula>0</formula>
    </cfRule>
  </conditionalFormatting>
  <conditionalFormatting sqref="P125">
    <cfRule type="cellIs" dxfId="488" priority="1564" operator="greaterThan">
      <formula>0</formula>
    </cfRule>
  </conditionalFormatting>
  <conditionalFormatting sqref="P125">
    <cfRule type="cellIs" dxfId="487" priority="1562" operator="greaterThan">
      <formula>0</formula>
    </cfRule>
    <cfRule type="cellIs" dxfId="486" priority="1563" operator="lessThan">
      <formula>0</formula>
    </cfRule>
  </conditionalFormatting>
  <conditionalFormatting sqref="L123">
    <cfRule type="cellIs" dxfId="485" priority="1308" operator="lessThan">
      <formula>0</formula>
    </cfRule>
  </conditionalFormatting>
  <conditionalFormatting sqref="L123">
    <cfRule type="cellIs" dxfId="484" priority="1309" operator="greaterThan">
      <formula>0</formula>
    </cfRule>
  </conditionalFormatting>
  <conditionalFormatting sqref="M123">
    <cfRule type="cellIs" dxfId="483" priority="1307" operator="greaterThan">
      <formula>0</formula>
    </cfRule>
  </conditionalFormatting>
  <conditionalFormatting sqref="M123">
    <cfRule type="cellIs" dxfId="482" priority="1306" operator="lessThan">
      <formula>0</formula>
    </cfRule>
  </conditionalFormatting>
  <conditionalFormatting sqref="K123">
    <cfRule type="cellIs" dxfId="481" priority="1310" operator="greaterThan">
      <formula>0</formula>
    </cfRule>
    <cfRule type="cellIs" dxfId="480" priority="1311" operator="lessThan">
      <formula>0</formula>
    </cfRule>
  </conditionalFormatting>
  <conditionalFormatting sqref="M42">
    <cfRule type="cellIs" dxfId="479" priority="1124" operator="greaterThan">
      <formula>0</formula>
    </cfRule>
  </conditionalFormatting>
  <conditionalFormatting sqref="L67">
    <cfRule type="cellIs" dxfId="478" priority="1112" operator="greaterThan">
      <formula>0</formula>
    </cfRule>
  </conditionalFormatting>
  <conditionalFormatting sqref="L67">
    <cfRule type="cellIs" dxfId="477" priority="1111" operator="lessThan">
      <formula>0</formula>
    </cfRule>
  </conditionalFormatting>
  <conditionalFormatting sqref="K67">
    <cfRule type="cellIs" dxfId="476" priority="1113" operator="greaterThan">
      <formula>0</formula>
    </cfRule>
    <cfRule type="cellIs" dxfId="475" priority="1114" operator="lessThan">
      <formula>0</formula>
    </cfRule>
  </conditionalFormatting>
  <conditionalFormatting sqref="M42">
    <cfRule type="cellIs" dxfId="474" priority="1122" operator="greaterThan">
      <formula>0</formula>
    </cfRule>
    <cfRule type="cellIs" dxfId="473" priority="1123" operator="lessThan">
      <formula>0</formula>
    </cfRule>
  </conditionalFormatting>
  <conditionalFormatting sqref="K42">
    <cfRule type="cellIs" dxfId="472" priority="1121" operator="greaterThan">
      <formula>0</formula>
    </cfRule>
  </conditionalFormatting>
  <conditionalFormatting sqref="P42">
    <cfRule type="cellIs" dxfId="471" priority="1115" operator="greaterThan">
      <formula>0</formula>
    </cfRule>
    <cfRule type="cellIs" dxfId="470" priority="1116" operator="lessThan">
      <formula>0</formula>
    </cfRule>
  </conditionalFormatting>
  <conditionalFormatting sqref="P42">
    <cfRule type="cellIs" dxfId="469" priority="1117" operator="greaterThan">
      <formula>0</formula>
    </cfRule>
  </conditionalFormatting>
  <conditionalFormatting sqref="J42">
    <cfRule type="cellIs" dxfId="468" priority="1118" operator="greaterThan">
      <formula>0</formula>
    </cfRule>
    <cfRule type="cellIs" dxfId="467" priority="1119" operator="lessThan">
      <formula>0</formula>
    </cfRule>
  </conditionalFormatting>
  <conditionalFormatting sqref="K42">
    <cfRule type="cellIs" dxfId="466" priority="1120" operator="lessThan">
      <formula>0</formula>
    </cfRule>
  </conditionalFormatting>
  <conditionalFormatting sqref="M67">
    <cfRule type="cellIs" dxfId="465" priority="1110" operator="greaterThan">
      <formula>0</formula>
    </cfRule>
  </conditionalFormatting>
  <conditionalFormatting sqref="M67">
    <cfRule type="cellIs" dxfId="464" priority="1109" operator="lessThan">
      <formula>0</formula>
    </cfRule>
  </conditionalFormatting>
  <conditionalFormatting sqref="M29">
    <cfRule type="cellIs" dxfId="463" priority="618" operator="greaterThan">
      <formula>0</formula>
    </cfRule>
  </conditionalFormatting>
  <conditionalFormatting sqref="L40">
    <cfRule type="cellIs" dxfId="462" priority="606" operator="greaterThan">
      <formula>0</formula>
    </cfRule>
  </conditionalFormatting>
  <conditionalFormatting sqref="L40">
    <cfRule type="cellIs" dxfId="461" priority="605" operator="lessThan">
      <formula>0</formula>
    </cfRule>
  </conditionalFormatting>
  <conditionalFormatting sqref="K40">
    <cfRule type="cellIs" dxfId="460" priority="607" operator="greaterThan">
      <formula>0</formula>
    </cfRule>
    <cfRule type="cellIs" dxfId="459" priority="608" operator="lessThan">
      <formula>0</formula>
    </cfRule>
  </conditionalFormatting>
  <conditionalFormatting sqref="M29">
    <cfRule type="cellIs" dxfId="458" priority="616" operator="greaterThan">
      <formula>0</formula>
    </cfRule>
    <cfRule type="cellIs" dxfId="457" priority="617" operator="lessThan">
      <formula>0</formula>
    </cfRule>
  </conditionalFormatting>
  <conditionalFormatting sqref="K29">
    <cfRule type="cellIs" dxfId="456" priority="615" operator="greaterThan">
      <formula>0</formula>
    </cfRule>
  </conditionalFormatting>
  <conditionalFormatting sqref="P29">
    <cfRule type="cellIs" dxfId="455" priority="609" operator="greaterThan">
      <formula>0</formula>
    </cfRule>
    <cfRule type="cellIs" dxfId="454" priority="610" operator="lessThan">
      <formula>0</formula>
    </cfRule>
  </conditionalFormatting>
  <conditionalFormatting sqref="P29">
    <cfRule type="cellIs" dxfId="453" priority="611" operator="greaterThan">
      <formula>0</formula>
    </cfRule>
  </conditionalFormatting>
  <conditionalFormatting sqref="J29">
    <cfRule type="cellIs" dxfId="452" priority="612" operator="greaterThan">
      <formula>0</formula>
    </cfRule>
    <cfRule type="cellIs" dxfId="451" priority="613" operator="lessThan">
      <formula>0</formula>
    </cfRule>
  </conditionalFormatting>
  <conditionalFormatting sqref="K29">
    <cfRule type="cellIs" dxfId="450" priority="614" operator="lessThan">
      <formula>0</formula>
    </cfRule>
  </conditionalFormatting>
  <conditionalFormatting sqref="M40">
    <cfRule type="cellIs" dxfId="449" priority="604" operator="greaterThan">
      <formula>0</formula>
    </cfRule>
  </conditionalFormatting>
  <conditionalFormatting sqref="M40">
    <cfRule type="cellIs" dxfId="448" priority="603" operator="lessThan">
      <formula>0</formula>
    </cfRule>
  </conditionalFormatting>
  <conditionalFormatting sqref="M6">
    <cfRule type="cellIs" dxfId="447" priority="260" operator="greaterThan">
      <formula>0</formula>
    </cfRule>
  </conditionalFormatting>
  <conditionalFormatting sqref="M30">
    <cfRule type="cellIs" dxfId="446" priority="224" operator="greaterThan">
      <formula>0</formula>
    </cfRule>
    <cfRule type="cellIs" dxfId="445" priority="225" operator="lessThan">
      <formula>0</formula>
    </cfRule>
  </conditionalFormatting>
  <conditionalFormatting sqref="K30">
    <cfRule type="cellIs" dxfId="444" priority="223" operator="greaterThan">
      <formula>0</formula>
    </cfRule>
  </conditionalFormatting>
  <conditionalFormatting sqref="L28">
    <cfRule type="cellIs" dxfId="443" priority="247" operator="lessThan">
      <formula>0</formula>
    </cfRule>
  </conditionalFormatting>
  <conditionalFormatting sqref="L28">
    <cfRule type="cellIs" dxfId="442" priority="248" operator="greaterThan">
      <formula>0</formula>
    </cfRule>
  </conditionalFormatting>
  <conditionalFormatting sqref="M28">
    <cfRule type="cellIs" dxfId="441" priority="246" operator="greaterThan">
      <formula>0</formula>
    </cfRule>
  </conditionalFormatting>
  <conditionalFormatting sqref="K28">
    <cfRule type="cellIs" dxfId="440" priority="249" operator="greaterThan">
      <formula>0</formula>
    </cfRule>
    <cfRule type="cellIs" dxfId="439" priority="250" operator="lessThan">
      <formula>0</formula>
    </cfRule>
  </conditionalFormatting>
  <conditionalFormatting sqref="P30">
    <cfRule type="cellIs" dxfId="438" priority="217" operator="greaterThan">
      <formula>0</formula>
    </cfRule>
    <cfRule type="cellIs" dxfId="437" priority="218" operator="lessThan">
      <formula>0</formula>
    </cfRule>
  </conditionalFormatting>
  <conditionalFormatting sqref="M6">
    <cfRule type="cellIs" dxfId="436" priority="258" operator="greaterThan">
      <formula>0</formula>
    </cfRule>
    <cfRule type="cellIs" dxfId="435" priority="259" operator="lessThan">
      <formula>0</formula>
    </cfRule>
  </conditionalFormatting>
  <conditionalFormatting sqref="K6">
    <cfRule type="cellIs" dxfId="434" priority="257" operator="greaterThan">
      <formula>0</formula>
    </cfRule>
  </conditionalFormatting>
  <conditionalFormatting sqref="M28">
    <cfRule type="cellIs" dxfId="433" priority="245" operator="lessThan">
      <formula>0</formula>
    </cfRule>
  </conditionalFormatting>
  <conditionalFormatting sqref="P6">
    <cfRule type="cellIs" dxfId="432" priority="251" operator="greaterThan">
      <formula>0</formula>
    </cfRule>
    <cfRule type="cellIs" dxfId="431" priority="252" operator="lessThan">
      <formula>0</formula>
    </cfRule>
  </conditionalFormatting>
  <conditionalFormatting sqref="M30">
    <cfRule type="cellIs" dxfId="430" priority="226" operator="greaterThan">
      <formula>0</formula>
    </cfRule>
  </conditionalFormatting>
  <conditionalFormatting sqref="P6">
    <cfRule type="cellIs" dxfId="429" priority="253" operator="greaterThan">
      <formula>0</formula>
    </cfRule>
  </conditionalFormatting>
  <conditionalFormatting sqref="J6">
    <cfRule type="cellIs" dxfId="428" priority="254" operator="greaterThan">
      <formula>0</formula>
    </cfRule>
    <cfRule type="cellIs" dxfId="427" priority="255" operator="lessThan">
      <formula>0</formula>
    </cfRule>
  </conditionalFormatting>
  <conditionalFormatting sqref="K6">
    <cfRule type="cellIs" dxfId="426" priority="256" operator="lessThan">
      <formula>0</formula>
    </cfRule>
  </conditionalFormatting>
  <conditionalFormatting sqref="P30">
    <cfRule type="cellIs" dxfId="425" priority="219" operator="greaterThan">
      <formula>0</formula>
    </cfRule>
  </conditionalFormatting>
  <conditionalFormatting sqref="J30">
    <cfRule type="cellIs" dxfId="424" priority="220" operator="greaterThan">
      <formula>0</formula>
    </cfRule>
    <cfRule type="cellIs" dxfId="423" priority="221" operator="lessThan">
      <formula>0</formula>
    </cfRule>
  </conditionalFormatting>
  <conditionalFormatting sqref="K30">
    <cfRule type="cellIs" dxfId="422" priority="222" operator="lessThan">
      <formula>0</formula>
    </cfRule>
  </conditionalFormatting>
  <conditionalFormatting sqref="M26">
    <cfRule type="cellIs" dxfId="17" priority="16" operator="greaterThan">
      <formula>0</formula>
    </cfRule>
  </conditionalFormatting>
  <conditionalFormatting sqref="M26">
    <cfRule type="cellIs" dxfId="16" priority="15" operator="lessThan">
      <formula>0</formula>
    </cfRule>
  </conditionalFormatting>
  <conditionalFormatting sqref="C26:E26">
    <cfRule type="cellIs" dxfId="15" priority="8" operator="greaterThan">
      <formula>0</formula>
    </cfRule>
    <cfRule type="cellIs" dxfId="14" priority="9" operator="lessThan">
      <formula>0</formula>
    </cfRule>
  </conditionalFormatting>
  <conditionalFormatting sqref="G26">
    <cfRule type="cellIs" dxfId="13" priority="7" operator="greaterThan">
      <formula>0</formula>
    </cfRule>
  </conditionalFormatting>
  <conditionalFormatting sqref="P26">
    <cfRule type="cellIs" dxfId="12" priority="3" operator="lessThan">
      <formula>0</formula>
    </cfRule>
  </conditionalFormatting>
  <conditionalFormatting sqref="P26">
    <cfRule type="cellIs" dxfId="11" priority="4" operator="greaterThan">
      <formula>0</formula>
    </cfRule>
  </conditionalFormatting>
  <conditionalFormatting sqref="K26">
    <cfRule type="cellIs" dxfId="10" priority="18" operator="greaterThan">
      <formula>0</formula>
    </cfRule>
  </conditionalFormatting>
  <conditionalFormatting sqref="K26">
    <cfRule type="cellIs" dxfId="9" priority="17" operator="lessThan">
      <formula>0</formula>
    </cfRule>
  </conditionalFormatting>
  <conditionalFormatting sqref="L26">
    <cfRule type="cellIs" dxfId="8" priority="14" operator="greaterThan">
      <formula>0</formula>
    </cfRule>
  </conditionalFormatting>
  <conditionalFormatting sqref="L26">
    <cfRule type="cellIs" dxfId="7" priority="13" operator="lessThan">
      <formula>0</formula>
    </cfRule>
  </conditionalFormatting>
  <conditionalFormatting sqref="H26">
    <cfRule type="cellIs" dxfId="6" priority="12" operator="greaterThan">
      <formula>0</formula>
    </cfRule>
  </conditionalFormatting>
  <conditionalFormatting sqref="F26">
    <cfRule type="expression" dxfId="5" priority="10">
      <formula>F26&gt;C26</formula>
    </cfRule>
    <cfRule type="expression" dxfId="4" priority="11">
      <formula>F26&lt;=C26</formula>
    </cfRule>
  </conditionalFormatting>
  <conditionalFormatting sqref="G26">
    <cfRule type="cellIs" dxfId="3" priority="5" operator="greaterThan">
      <formula>0</formula>
    </cfRule>
    <cfRule type="cellIs" dxfId="2" priority="6" operator="lessThan">
      <formula>0</formula>
    </cfRule>
  </conditionalFormatting>
  <conditionalFormatting sqref="Q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AtualizarValorAtualSeNecessario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1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2"/>
  <dimension ref="A1:Q92"/>
  <sheetViews>
    <sheetView zoomScaleNormal="100" workbookViewId="0">
      <selection activeCell="G94" sqref="G94"/>
    </sheetView>
  </sheetViews>
  <sheetFormatPr defaultColWidth="9.85546875" defaultRowHeight="15" outlineLevelRow="3" x14ac:dyDescent="0.25"/>
  <cols>
    <col min="1" max="1" width="13" customWidth="1"/>
    <col min="2" max="2" width="14.85546875" bestFit="1" customWidth="1"/>
    <col min="3" max="3" width="12.42578125" customWidth="1"/>
    <col min="4" max="4" width="15.85546875" bestFit="1" customWidth="1"/>
    <col min="5" max="5" width="15" bestFit="1" customWidth="1"/>
    <col min="6" max="6" width="18" customWidth="1"/>
    <col min="7" max="7" width="19.28515625" bestFit="1" customWidth="1"/>
    <col min="8" max="8" width="16.5703125" customWidth="1"/>
    <col min="9" max="9" width="16.42578125" customWidth="1"/>
    <col min="10" max="10" width="16.140625" bestFit="1" customWidth="1"/>
    <col min="11" max="11" width="15.28515625" bestFit="1" customWidth="1"/>
    <col min="12" max="12" width="14.140625" customWidth="1"/>
    <col min="13" max="13" width="14.7109375" bestFit="1" customWidth="1"/>
    <col min="14" max="14" width="15.85546875" bestFit="1" customWidth="1"/>
    <col min="15" max="15" width="14.5703125" bestFit="1" customWidth="1"/>
    <col min="17" max="17" width="12.42578125" customWidth="1"/>
  </cols>
  <sheetData>
    <row r="1" spans="1:13" ht="20.25" x14ac:dyDescent="0.25">
      <c r="A1" s="451">
        <v>2021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</row>
    <row r="2" spans="1:13" ht="20.25" hidden="1" outlineLevel="1" x14ac:dyDescent="0.25">
      <c r="A2" s="451" t="s">
        <v>68</v>
      </c>
      <c r="B2" s="451"/>
      <c r="C2" s="451"/>
      <c r="D2" s="451"/>
      <c r="E2" s="451"/>
      <c r="F2" s="451"/>
      <c r="G2" s="451"/>
      <c r="H2" s="451"/>
      <c r="I2" s="451"/>
      <c r="J2" s="22"/>
      <c r="K2" s="22"/>
      <c r="L2" s="23" t="s">
        <v>34</v>
      </c>
      <c r="M2" s="24">
        <v>1000</v>
      </c>
    </row>
    <row r="3" spans="1:13" hidden="1" outlineLevel="1" x14ac:dyDescent="0.25">
      <c r="A3" s="8" t="s">
        <v>36</v>
      </c>
      <c r="B3" s="9" t="s">
        <v>37</v>
      </c>
      <c r="C3" s="8" t="s">
        <v>39</v>
      </c>
      <c r="D3" s="8" t="s">
        <v>40</v>
      </c>
      <c r="E3" s="8" t="s">
        <v>41</v>
      </c>
      <c r="F3" s="8" t="s">
        <v>42</v>
      </c>
      <c r="G3" s="8" t="s">
        <v>43</v>
      </c>
      <c r="H3" s="9" t="s">
        <v>45</v>
      </c>
      <c r="I3" s="8" t="s">
        <v>58</v>
      </c>
      <c r="J3" s="25"/>
      <c r="K3" s="25"/>
      <c r="L3" s="452" t="s">
        <v>35</v>
      </c>
      <c r="M3" s="452"/>
    </row>
    <row r="4" spans="1:13" ht="15.75" hidden="1" outlineLevel="1" x14ac:dyDescent="0.25">
      <c r="A4" s="453" t="s">
        <v>69</v>
      </c>
      <c r="B4" s="15" t="s">
        <v>60</v>
      </c>
      <c r="C4" s="26">
        <v>25.48</v>
      </c>
      <c r="D4" s="27">
        <v>1.1599999999999999</v>
      </c>
      <c r="E4" s="441">
        <v>0</v>
      </c>
      <c r="F4" s="28">
        <f>ABS(C4-E4)/C4</f>
        <v>1</v>
      </c>
      <c r="G4" s="16">
        <f>D4*M2*-1</f>
        <v>-1160</v>
      </c>
      <c r="H4" s="159">
        <f>C4*M2</f>
        <v>25480</v>
      </c>
      <c r="I4" s="30" t="e">
        <f>RTD("tryd.rtdserver",,"COT",A4,"Expir")</f>
        <v>#N/A</v>
      </c>
      <c r="J4" s="30"/>
      <c r="K4" s="30"/>
      <c r="L4" s="31" t="s">
        <v>47</v>
      </c>
      <c r="M4" s="32" t="s">
        <v>48</v>
      </c>
    </row>
    <row r="5" spans="1:13" ht="15.75" hidden="1" outlineLevel="1" x14ac:dyDescent="0.25">
      <c r="A5" s="453"/>
      <c r="B5" s="33" t="s">
        <v>70</v>
      </c>
      <c r="C5" s="34">
        <v>25.48</v>
      </c>
      <c r="D5" s="35">
        <v>1.4</v>
      </c>
      <c r="E5" s="441"/>
      <c r="F5" s="36">
        <f>ABS(C5-E4)/C5</f>
        <v>1</v>
      </c>
      <c r="G5" s="21">
        <f>D5*M2</f>
        <v>1400</v>
      </c>
      <c r="H5" s="160">
        <f>C5*M2</f>
        <v>25480</v>
      </c>
      <c r="I5" s="12" t="s">
        <v>57</v>
      </c>
      <c r="J5" s="12"/>
      <c r="K5" s="12"/>
      <c r="L5" s="454">
        <v>0</v>
      </c>
      <c r="M5" s="454">
        <v>0</v>
      </c>
    </row>
    <row r="6" spans="1:13" hidden="1" outlineLevel="1" x14ac:dyDescent="0.25">
      <c r="A6" s="455" t="s">
        <v>71</v>
      </c>
      <c r="B6" s="455"/>
      <c r="C6" s="456" t="s">
        <v>51</v>
      </c>
      <c r="D6" s="456"/>
      <c r="E6" s="456"/>
      <c r="F6" s="456"/>
      <c r="G6" s="156">
        <f>G4+G5</f>
        <v>240</v>
      </c>
      <c r="H6" s="39"/>
      <c r="I6" s="40">
        <f>ABS(G6/G4)</f>
        <v>0.20689655172413793</v>
      </c>
      <c r="J6" s="40"/>
      <c r="K6" s="40"/>
      <c r="L6" s="454"/>
      <c r="M6" s="454"/>
    </row>
    <row r="7" spans="1:13" hidden="1" outlineLevel="1" x14ac:dyDescent="0.25">
      <c r="D7" s="41" t="e">
        <f>RTD("tryd.rtdserver",,"COT",A4,"Ult")</f>
        <v>#N/A</v>
      </c>
    </row>
    <row r="8" spans="1:13" hidden="1" outlineLevel="1" x14ac:dyDescent="0.25">
      <c r="A8" t="s">
        <v>29</v>
      </c>
    </row>
    <row r="9" spans="1:13" ht="20.25" hidden="1" outlineLevel="1" x14ac:dyDescent="0.25">
      <c r="A9" s="451" t="s">
        <v>68</v>
      </c>
      <c r="B9" s="451"/>
      <c r="C9" s="451"/>
      <c r="D9" s="451"/>
      <c r="E9" s="451"/>
      <c r="F9" s="451"/>
      <c r="G9" s="451"/>
      <c r="H9" s="451"/>
      <c r="I9" s="451"/>
      <c r="J9" s="22"/>
      <c r="K9" s="22"/>
      <c r="L9" s="23" t="s">
        <v>34</v>
      </c>
      <c r="M9" s="24">
        <v>1000</v>
      </c>
    </row>
    <row r="10" spans="1:13" hidden="1" outlineLevel="1" x14ac:dyDescent="0.25">
      <c r="A10" s="8" t="s">
        <v>36</v>
      </c>
      <c r="B10" s="9" t="s">
        <v>37</v>
      </c>
      <c r="C10" s="8" t="s">
        <v>39</v>
      </c>
      <c r="D10" s="8" t="s">
        <v>40</v>
      </c>
      <c r="E10" s="8" t="s">
        <v>41</v>
      </c>
      <c r="F10" s="8" t="s">
        <v>42</v>
      </c>
      <c r="G10" s="8" t="s">
        <v>43</v>
      </c>
      <c r="H10" s="9" t="s">
        <v>45</v>
      </c>
      <c r="I10" s="8" t="s">
        <v>58</v>
      </c>
      <c r="J10" s="25"/>
      <c r="K10" s="25"/>
      <c r="L10" s="452" t="s">
        <v>35</v>
      </c>
      <c r="M10" s="452"/>
    </row>
    <row r="11" spans="1:13" ht="15.75" hidden="1" outlineLevel="1" x14ac:dyDescent="0.25">
      <c r="A11" s="453" t="s">
        <v>69</v>
      </c>
      <c r="B11" s="15" t="s">
        <v>60</v>
      </c>
      <c r="C11" s="26">
        <v>25.48</v>
      </c>
      <c r="D11" s="27">
        <v>1.1599999999999999</v>
      </c>
      <c r="E11" s="441" t="e">
        <f>RTD("tryd.rtdserver",,"COT",A11,"Exerc")</f>
        <v>#N/A</v>
      </c>
      <c r="F11" s="28" t="e">
        <f>ABS(C11-E11)/C11</f>
        <v>#N/A</v>
      </c>
      <c r="G11" s="16">
        <f>D11*M9*-1</f>
        <v>-1160</v>
      </c>
      <c r="H11" s="159">
        <f>C11*M9</f>
        <v>25480</v>
      </c>
      <c r="I11" s="30" t="e">
        <f>RTD("tryd.rtdserver",,"COT",A11,"Expir")</f>
        <v>#N/A</v>
      </c>
      <c r="J11" s="30"/>
      <c r="K11" s="30"/>
      <c r="L11" s="31" t="s">
        <v>47</v>
      </c>
      <c r="M11" s="32" t="s">
        <v>48</v>
      </c>
    </row>
    <row r="12" spans="1:13" ht="15.75" hidden="1" outlineLevel="1" x14ac:dyDescent="0.25">
      <c r="A12" s="453"/>
      <c r="B12" s="33" t="s">
        <v>70</v>
      </c>
      <c r="C12" s="34">
        <v>25.48</v>
      </c>
      <c r="D12" s="35">
        <v>1.6</v>
      </c>
      <c r="E12" s="441"/>
      <c r="F12" s="36" t="e">
        <f>ABS(C12-E11)/C12</f>
        <v>#N/A</v>
      </c>
      <c r="G12" s="157">
        <f>D12*M9</f>
        <v>1600</v>
      </c>
      <c r="H12" s="160">
        <f>C12*M9</f>
        <v>25480</v>
      </c>
      <c r="I12" s="12" t="s">
        <v>57</v>
      </c>
      <c r="J12" s="12"/>
      <c r="K12" s="12"/>
      <c r="L12" s="454">
        <v>0</v>
      </c>
      <c r="M12" s="454">
        <v>0</v>
      </c>
    </row>
    <row r="13" spans="1:13" hidden="1" outlineLevel="1" x14ac:dyDescent="0.25">
      <c r="A13" s="455" t="s">
        <v>71</v>
      </c>
      <c r="B13" s="455"/>
      <c r="C13" s="456" t="s">
        <v>51</v>
      </c>
      <c r="D13" s="456"/>
      <c r="E13" s="456"/>
      <c r="F13" s="456"/>
      <c r="G13" s="158">
        <f>G11+G12</f>
        <v>440</v>
      </c>
      <c r="H13" s="39"/>
      <c r="I13" s="40">
        <f>ABS(G13/G11)</f>
        <v>0.37931034482758619</v>
      </c>
      <c r="J13" s="40"/>
      <c r="K13" s="40"/>
      <c r="L13" s="454"/>
      <c r="M13" s="454"/>
    </row>
    <row r="14" spans="1:13" hidden="1" outlineLevel="1" x14ac:dyDescent="0.25"/>
    <row r="15" spans="1:13" ht="20.25" hidden="1" outlineLevel="1" x14ac:dyDescent="0.25">
      <c r="A15" s="451" t="s">
        <v>68</v>
      </c>
      <c r="B15" s="451"/>
      <c r="C15" s="451"/>
      <c r="D15" s="451"/>
      <c r="E15" s="451"/>
      <c r="F15" s="451"/>
      <c r="G15" s="451"/>
      <c r="H15" s="451"/>
      <c r="I15" s="451"/>
      <c r="J15" s="22"/>
      <c r="K15" s="22"/>
      <c r="L15" s="23" t="s">
        <v>34</v>
      </c>
      <c r="M15" s="24">
        <v>500</v>
      </c>
    </row>
    <row r="16" spans="1:13" hidden="1" outlineLevel="1" x14ac:dyDescent="0.25">
      <c r="A16" s="8" t="s">
        <v>36</v>
      </c>
      <c r="B16" s="9" t="s">
        <v>37</v>
      </c>
      <c r="C16" s="8" t="s">
        <v>39</v>
      </c>
      <c r="D16" s="8" t="s">
        <v>40</v>
      </c>
      <c r="E16" s="8" t="s">
        <v>41</v>
      </c>
      <c r="F16" s="8" t="s">
        <v>42</v>
      </c>
      <c r="G16" s="8" t="s">
        <v>43</v>
      </c>
      <c r="H16" s="9" t="s">
        <v>45</v>
      </c>
      <c r="I16" s="8" t="s">
        <v>58</v>
      </c>
      <c r="J16" s="25"/>
      <c r="K16" s="25"/>
      <c r="L16" s="452" t="s">
        <v>35</v>
      </c>
      <c r="M16" s="452"/>
    </row>
    <row r="17" spans="1:13" ht="15.75" hidden="1" outlineLevel="1" x14ac:dyDescent="0.25">
      <c r="A17" s="453" t="s">
        <v>69</v>
      </c>
      <c r="B17" s="15" t="s">
        <v>60</v>
      </c>
      <c r="C17" s="26">
        <v>25.48</v>
      </c>
      <c r="D17" s="27">
        <v>1.1599999999999999</v>
      </c>
      <c r="E17" s="441">
        <v>0</v>
      </c>
      <c r="F17" s="28">
        <f>ABS(C17-E17)/C17</f>
        <v>1</v>
      </c>
      <c r="G17" s="16">
        <f>D17*M15*-1</f>
        <v>-580</v>
      </c>
      <c r="H17" s="159">
        <f>C17*M15</f>
        <v>12740</v>
      </c>
      <c r="I17" s="30" t="e">
        <f>RTD("tryd.rtdserver",,"COT",A17,"Expir")</f>
        <v>#N/A</v>
      </c>
      <c r="J17" s="30"/>
      <c r="K17" s="30"/>
      <c r="L17" s="31" t="s">
        <v>47</v>
      </c>
      <c r="M17" s="32" t="s">
        <v>48</v>
      </c>
    </row>
    <row r="18" spans="1:13" ht="15.75" hidden="1" outlineLevel="1" x14ac:dyDescent="0.25">
      <c r="A18" s="453"/>
      <c r="B18" s="33" t="s">
        <v>70</v>
      </c>
      <c r="C18" s="34">
        <v>25.48</v>
      </c>
      <c r="D18" s="35">
        <v>2</v>
      </c>
      <c r="E18" s="441"/>
      <c r="F18" s="36">
        <f>ABS(C18-E17)/C18</f>
        <v>1</v>
      </c>
      <c r="G18" s="157">
        <f>D18*M15</f>
        <v>1000</v>
      </c>
      <c r="H18" s="160">
        <f>C18*M15</f>
        <v>12740</v>
      </c>
      <c r="I18" s="12" t="s">
        <v>57</v>
      </c>
      <c r="J18" s="12"/>
      <c r="K18" s="12"/>
      <c r="L18" s="454">
        <v>0</v>
      </c>
      <c r="M18" s="454">
        <v>0</v>
      </c>
    </row>
    <row r="19" spans="1:13" hidden="1" outlineLevel="1" x14ac:dyDescent="0.25">
      <c r="A19" s="455" t="s">
        <v>71</v>
      </c>
      <c r="B19" s="455"/>
      <c r="C19" s="456" t="s">
        <v>51</v>
      </c>
      <c r="D19" s="456"/>
      <c r="E19" s="456"/>
      <c r="F19" s="456"/>
      <c r="G19" s="158">
        <f>G17+G18</f>
        <v>420</v>
      </c>
      <c r="H19" s="39"/>
      <c r="I19" s="40">
        <f>ABS(G19/G17)</f>
        <v>0.72413793103448276</v>
      </c>
      <c r="J19" s="40"/>
      <c r="K19" s="40"/>
      <c r="L19" s="454"/>
      <c r="M19" s="454"/>
    </row>
    <row r="20" spans="1:13" hidden="1" outlineLevel="1" x14ac:dyDescent="0.25"/>
    <row r="21" spans="1:13" ht="20.25" hidden="1" outlineLevel="1" x14ac:dyDescent="0.25">
      <c r="A21" s="451" t="s">
        <v>68</v>
      </c>
      <c r="B21" s="451"/>
      <c r="C21" s="451"/>
      <c r="D21" s="451"/>
      <c r="E21" s="451"/>
      <c r="F21" s="451"/>
      <c r="G21" s="451"/>
      <c r="H21" s="451"/>
      <c r="I21" s="451"/>
      <c r="J21" s="22"/>
      <c r="K21" s="22"/>
      <c r="L21" s="23" t="s">
        <v>34</v>
      </c>
      <c r="M21" s="24">
        <v>500</v>
      </c>
    </row>
    <row r="22" spans="1:13" hidden="1" outlineLevel="1" x14ac:dyDescent="0.25">
      <c r="A22" s="8" t="s">
        <v>36</v>
      </c>
      <c r="B22" s="9" t="s">
        <v>37</v>
      </c>
      <c r="C22" s="8" t="s">
        <v>39</v>
      </c>
      <c r="D22" s="8" t="s">
        <v>40</v>
      </c>
      <c r="E22" s="8" t="s">
        <v>41</v>
      </c>
      <c r="F22" s="8" t="s">
        <v>42</v>
      </c>
      <c r="G22" s="8" t="s">
        <v>43</v>
      </c>
      <c r="H22" s="9" t="s">
        <v>45</v>
      </c>
      <c r="I22" s="8" t="s">
        <v>58</v>
      </c>
      <c r="J22" s="25"/>
      <c r="K22" s="25"/>
      <c r="L22" s="452" t="s">
        <v>35</v>
      </c>
      <c r="M22" s="452"/>
    </row>
    <row r="23" spans="1:13" ht="15.75" hidden="1" outlineLevel="1" x14ac:dyDescent="0.25">
      <c r="A23" s="453" t="s">
        <v>69</v>
      </c>
      <c r="B23" s="15" t="s">
        <v>60</v>
      </c>
      <c r="C23" s="26">
        <v>25.48</v>
      </c>
      <c r="D23" s="27">
        <v>1.1599999999999999</v>
      </c>
      <c r="E23" s="441">
        <v>0</v>
      </c>
      <c r="F23" s="28">
        <f>ABS(C23-E23)/C23</f>
        <v>1</v>
      </c>
      <c r="G23" s="16">
        <f>D23*M21*-1</f>
        <v>-580</v>
      </c>
      <c r="H23" s="159">
        <f>C23*M21</f>
        <v>12740</v>
      </c>
      <c r="I23" s="30" t="e">
        <f>RTD("tryd.rtdserver",,"COT",A23,"Expir")</f>
        <v>#N/A</v>
      </c>
      <c r="J23" s="30"/>
      <c r="K23" s="30"/>
      <c r="L23" s="31" t="s">
        <v>47</v>
      </c>
      <c r="M23" s="32" t="s">
        <v>48</v>
      </c>
    </row>
    <row r="24" spans="1:13" ht="15.75" hidden="1" outlineLevel="1" x14ac:dyDescent="0.25">
      <c r="A24" s="453"/>
      <c r="B24" s="33" t="s">
        <v>70</v>
      </c>
      <c r="C24" s="34">
        <v>25.48</v>
      </c>
      <c r="D24" s="35">
        <v>1.9</v>
      </c>
      <c r="E24" s="441"/>
      <c r="F24" s="36">
        <f>ABS(C24-E23)/C24</f>
        <v>1</v>
      </c>
      <c r="G24" s="157">
        <f>D24*M21</f>
        <v>950</v>
      </c>
      <c r="H24" s="160">
        <f>C24*M21</f>
        <v>12740</v>
      </c>
      <c r="I24" s="12" t="s">
        <v>57</v>
      </c>
      <c r="J24" s="12"/>
      <c r="K24" s="12"/>
      <c r="L24" s="454">
        <v>0</v>
      </c>
      <c r="M24" s="454">
        <v>0</v>
      </c>
    </row>
    <row r="25" spans="1:13" hidden="1" outlineLevel="1" x14ac:dyDescent="0.25">
      <c r="A25" s="455" t="s">
        <v>71</v>
      </c>
      <c r="B25" s="455"/>
      <c r="C25" s="456" t="s">
        <v>51</v>
      </c>
      <c r="D25" s="456"/>
      <c r="E25" s="456"/>
      <c r="F25" s="456"/>
      <c r="G25" s="158">
        <f>G23+G24</f>
        <v>370</v>
      </c>
      <c r="H25" s="39"/>
      <c r="I25" s="40">
        <f>ABS(G25/G23)</f>
        <v>0.63793103448275867</v>
      </c>
      <c r="J25" s="40"/>
      <c r="K25" s="40"/>
      <c r="L25" s="454"/>
      <c r="M25" s="454"/>
    </row>
    <row r="26" spans="1:13" hidden="1" outlineLevel="1" x14ac:dyDescent="0.25"/>
    <row r="27" spans="1:13" hidden="1" outlineLevel="1" x14ac:dyDescent="0.25">
      <c r="A27" s="456" t="s">
        <v>72</v>
      </c>
      <c r="B27" s="456"/>
      <c r="C27" s="456"/>
      <c r="D27" s="456"/>
      <c r="E27" s="456"/>
      <c r="F27" s="456"/>
      <c r="G27" s="456"/>
      <c r="H27" s="456"/>
      <c r="L27" s="457" t="s">
        <v>73</v>
      </c>
      <c r="M27" s="457"/>
    </row>
    <row r="28" spans="1:13" ht="15" hidden="1" customHeight="1" outlineLevel="1" x14ac:dyDescent="0.25">
      <c r="A28" s="31" t="s">
        <v>74</v>
      </c>
      <c r="B28" s="442" t="s">
        <v>75</v>
      </c>
      <c r="C28" s="442"/>
      <c r="D28" s="442" t="s">
        <v>76</v>
      </c>
      <c r="E28" s="442"/>
      <c r="F28" s="442" t="s">
        <v>54</v>
      </c>
      <c r="G28" s="442"/>
      <c r="H28" s="42" t="s">
        <v>52</v>
      </c>
      <c r="L28" s="443">
        <f>AVERAGE(D4,D11,D17,D23)</f>
        <v>1.1599999999999999</v>
      </c>
      <c r="M28" s="443">
        <f>L30-L28</f>
        <v>0.56500000000000017</v>
      </c>
    </row>
    <row r="29" spans="1:13" ht="15" hidden="1" customHeight="1" outlineLevel="1" x14ac:dyDescent="0.25">
      <c r="A29" s="448">
        <v>44449</v>
      </c>
      <c r="B29" s="449">
        <f>G4+G11+G17+G23</f>
        <v>-3480</v>
      </c>
      <c r="C29" s="4">
        <f>G6/$B$29</f>
        <v>-6.8965517241379309E-2</v>
      </c>
      <c r="D29" s="450">
        <f>G5+G12+G18+G24</f>
        <v>4950</v>
      </c>
      <c r="E29" s="4">
        <f>G6/D29</f>
        <v>4.8484848484848485E-2</v>
      </c>
      <c r="F29" s="444">
        <f>B29+D29</f>
        <v>1470</v>
      </c>
      <c r="G29" s="447">
        <f>ABS(F29/(B29))</f>
        <v>0.42241379310344829</v>
      </c>
      <c r="H29" s="445">
        <f>E5+30%</f>
        <v>0.3</v>
      </c>
      <c r="L29" s="443"/>
      <c r="M29" s="443"/>
    </row>
    <row r="30" spans="1:13" ht="15" hidden="1" customHeight="1" outlineLevel="1" x14ac:dyDescent="0.25">
      <c r="A30" s="448"/>
      <c r="B30" s="449"/>
      <c r="C30" s="4">
        <f>G6/$B$29</f>
        <v>-6.8965517241379309E-2</v>
      </c>
      <c r="D30" s="450"/>
      <c r="E30" s="4">
        <f>G13/D29</f>
        <v>8.8888888888888892E-2</v>
      </c>
      <c r="F30" s="444"/>
      <c r="G30" s="447"/>
      <c r="H30" s="445"/>
      <c r="L30" s="443">
        <f>AVERAGE(D5,D12,D18,D24)</f>
        <v>1.7250000000000001</v>
      </c>
      <c r="M30" s="446">
        <f>M28/L28</f>
        <v>0.48706896551724155</v>
      </c>
    </row>
    <row r="31" spans="1:13" ht="15" hidden="1" customHeight="1" outlineLevel="1" x14ac:dyDescent="0.25">
      <c r="C31" s="4">
        <f>G19/$B$29</f>
        <v>-0.1206896551724138</v>
      </c>
      <c r="E31" s="4">
        <f>G19/D29</f>
        <v>8.4848484848484854E-2</v>
      </c>
      <c r="L31" s="443"/>
      <c r="M31" s="446"/>
    </row>
    <row r="32" spans="1:13" ht="15" hidden="1" customHeight="1" outlineLevel="1" x14ac:dyDescent="0.25">
      <c r="L32" s="43"/>
      <c r="M32" s="44"/>
    </row>
    <row r="33" spans="1:17" hidden="1" outlineLevel="1" x14ac:dyDescent="0.25"/>
    <row r="34" spans="1:17" ht="20.25" hidden="1" outlineLevel="1" x14ac:dyDescent="0.25">
      <c r="A34" s="451" t="s">
        <v>68</v>
      </c>
      <c r="B34" s="451"/>
      <c r="C34" s="451"/>
      <c r="D34" s="451"/>
      <c r="E34" s="451"/>
      <c r="F34" s="451"/>
      <c r="G34" s="451"/>
      <c r="H34" s="451"/>
      <c r="I34" s="451"/>
      <c r="J34" s="22"/>
      <c r="K34" s="22"/>
      <c r="L34" s="23" t="s">
        <v>34</v>
      </c>
      <c r="M34" s="24">
        <v>1000</v>
      </c>
    </row>
    <row r="35" spans="1:17" hidden="1" outlineLevel="1" x14ac:dyDescent="0.25">
      <c r="A35" s="8" t="s">
        <v>36</v>
      </c>
      <c r="B35" s="9" t="s">
        <v>37</v>
      </c>
      <c r="C35" s="8" t="s">
        <v>39</v>
      </c>
      <c r="D35" s="8" t="s">
        <v>40</v>
      </c>
      <c r="E35" s="8" t="s">
        <v>41</v>
      </c>
      <c r="F35" s="8" t="s">
        <v>42</v>
      </c>
      <c r="G35" s="8" t="s">
        <v>43</v>
      </c>
      <c r="H35" s="9" t="s">
        <v>45</v>
      </c>
      <c r="I35" s="8" t="s">
        <v>58</v>
      </c>
      <c r="J35" s="25"/>
      <c r="K35" s="25"/>
      <c r="L35" s="452" t="s">
        <v>35</v>
      </c>
      <c r="M35" s="452"/>
    </row>
    <row r="36" spans="1:17" ht="15.75" hidden="1" outlineLevel="1" x14ac:dyDescent="0.25">
      <c r="A36" s="453" t="s">
        <v>69</v>
      </c>
      <c r="B36" s="15" t="s">
        <v>60</v>
      </c>
      <c r="C36" s="26">
        <v>25.48</v>
      </c>
      <c r="D36" s="27">
        <v>0</v>
      </c>
      <c r="E36" s="441">
        <v>0</v>
      </c>
      <c r="F36" s="28">
        <f>ABS(C36-E36)/C36</f>
        <v>1</v>
      </c>
      <c r="G36" s="16">
        <f>D36*M34*-1</f>
        <v>0</v>
      </c>
      <c r="H36" s="29">
        <f>C36*M34</f>
        <v>25480</v>
      </c>
      <c r="I36" s="30" t="e">
        <f>RTD("tryd.rtdserver",,"COT",A36,"Expir")</f>
        <v>#N/A</v>
      </c>
      <c r="J36" s="30"/>
      <c r="K36" s="30"/>
      <c r="L36" s="31" t="s">
        <v>47</v>
      </c>
      <c r="M36" s="32" t="s">
        <v>48</v>
      </c>
    </row>
    <row r="37" spans="1:17" ht="15.75" hidden="1" outlineLevel="1" x14ac:dyDescent="0.25">
      <c r="A37" s="453"/>
      <c r="B37" s="33" t="s">
        <v>70</v>
      </c>
      <c r="C37" s="34">
        <v>25.48</v>
      </c>
      <c r="D37" s="35">
        <v>0</v>
      </c>
      <c r="E37" s="441"/>
      <c r="F37" s="36">
        <f>ABS(C37-E36)/C37</f>
        <v>1</v>
      </c>
      <c r="G37" s="19">
        <f>D37*M34</f>
        <v>0</v>
      </c>
      <c r="H37" s="37">
        <f>C37*M34</f>
        <v>25480</v>
      </c>
      <c r="I37" s="12" t="s">
        <v>57</v>
      </c>
      <c r="J37" s="12"/>
      <c r="K37" s="12"/>
      <c r="L37" s="454">
        <v>0</v>
      </c>
      <c r="M37" s="454">
        <v>0</v>
      </c>
    </row>
    <row r="38" spans="1:17" hidden="1" outlineLevel="1" x14ac:dyDescent="0.25">
      <c r="A38" s="455" t="s">
        <v>71</v>
      </c>
      <c r="B38" s="455"/>
      <c r="C38" s="456" t="s">
        <v>51</v>
      </c>
      <c r="D38" s="456"/>
      <c r="E38" s="456"/>
      <c r="F38" s="456"/>
      <c r="G38" s="38">
        <f>G36+G37</f>
        <v>0</v>
      </c>
      <c r="H38" s="39"/>
      <c r="I38" s="40"/>
      <c r="J38" s="40"/>
      <c r="K38" s="40"/>
      <c r="L38" s="454"/>
      <c r="M38" s="454"/>
    </row>
    <row r="39" spans="1:17" collapsed="1" x14ac:dyDescent="0.25"/>
    <row r="40" spans="1:17" ht="20.25" x14ac:dyDescent="0.25">
      <c r="A40" s="451">
        <v>2022</v>
      </c>
      <c r="B40" s="451"/>
      <c r="C40" s="451"/>
      <c r="D40" s="451"/>
      <c r="E40" s="451"/>
      <c r="F40" s="451"/>
      <c r="G40" s="451"/>
      <c r="H40" s="451"/>
      <c r="I40" s="451"/>
      <c r="J40" s="451"/>
      <c r="K40" s="451"/>
      <c r="L40" s="451"/>
      <c r="M40" s="451"/>
      <c r="Q40" t="s">
        <v>29</v>
      </c>
    </row>
    <row r="41" spans="1:17" ht="20.25" hidden="1" outlineLevel="1" x14ac:dyDescent="0.25">
      <c r="A41" s="426" t="s">
        <v>68</v>
      </c>
      <c r="B41" s="427"/>
      <c r="C41" s="427"/>
      <c r="D41" s="427"/>
      <c r="E41" s="427"/>
      <c r="F41" s="427"/>
      <c r="G41" s="427"/>
      <c r="H41" s="427"/>
      <c r="I41" s="427"/>
      <c r="J41" s="427"/>
      <c r="K41" s="428"/>
      <c r="L41" s="45" t="s">
        <v>34</v>
      </c>
      <c r="M41" s="46">
        <v>1000</v>
      </c>
    </row>
    <row r="42" spans="1:17" hidden="1" outlineLevel="1" x14ac:dyDescent="0.25">
      <c r="A42" s="47" t="s">
        <v>36</v>
      </c>
      <c r="B42" s="48" t="s">
        <v>37</v>
      </c>
      <c r="C42" s="47" t="s">
        <v>39</v>
      </c>
      <c r="D42" s="47" t="s">
        <v>40</v>
      </c>
      <c r="E42" s="47" t="s">
        <v>41</v>
      </c>
      <c r="F42" s="47" t="s">
        <v>42</v>
      </c>
      <c r="G42" s="47" t="s">
        <v>43</v>
      </c>
      <c r="H42" s="48" t="s">
        <v>45</v>
      </c>
      <c r="I42" s="47" t="s">
        <v>58</v>
      </c>
      <c r="J42" s="49" t="s">
        <v>77</v>
      </c>
      <c r="K42" s="49" t="s">
        <v>78</v>
      </c>
      <c r="L42" s="463" t="s">
        <v>35</v>
      </c>
      <c r="M42" s="464"/>
    </row>
    <row r="43" spans="1:17" ht="15.75" hidden="1" outlineLevel="1" x14ac:dyDescent="0.25">
      <c r="A43" s="461" t="s">
        <v>79</v>
      </c>
      <c r="B43" s="50" t="s">
        <v>60</v>
      </c>
      <c r="C43" s="51">
        <v>27.9</v>
      </c>
      <c r="D43" s="52">
        <v>2.02</v>
      </c>
      <c r="E43" s="468">
        <v>36</v>
      </c>
      <c r="F43" s="53">
        <f>ABS(C43-E43)/C43</f>
        <v>0.29032258064516137</v>
      </c>
      <c r="G43" s="54">
        <f>D43*M41*-1</f>
        <v>-2020</v>
      </c>
      <c r="H43" s="54">
        <f>C43*M41</f>
        <v>27900</v>
      </c>
      <c r="I43" s="171">
        <v>45189</v>
      </c>
      <c r="J43" s="460">
        <f>IF(E43&lt;C44,C44-E43,0)</f>
        <v>0</v>
      </c>
      <c r="K43" s="458">
        <f>D44-J43</f>
        <v>5.0199999999999996</v>
      </c>
      <c r="L43" s="55" t="s">
        <v>47</v>
      </c>
      <c r="M43" s="56" t="s">
        <v>48</v>
      </c>
    </row>
    <row r="44" spans="1:17" ht="15.75" hidden="1" outlineLevel="1" x14ac:dyDescent="0.25">
      <c r="A44" s="462"/>
      <c r="B44" s="57" t="s">
        <v>70</v>
      </c>
      <c r="C44" s="51">
        <v>32.22</v>
      </c>
      <c r="D44" s="52">
        <v>5.0199999999999996</v>
      </c>
      <c r="E44" s="469"/>
      <c r="F44" s="58">
        <f>ABS(C44-E43)/C44</f>
        <v>0.11731843575418999</v>
      </c>
      <c r="G44" s="59">
        <f>D44*M41</f>
        <v>5020</v>
      </c>
      <c r="H44" s="59">
        <f>C44*M41</f>
        <v>32220</v>
      </c>
      <c r="I44" s="60" t="s">
        <v>57</v>
      </c>
      <c r="J44" s="460"/>
      <c r="K44" s="459"/>
      <c r="L44" s="465">
        <v>0</v>
      </c>
      <c r="M44" s="466">
        <v>0</v>
      </c>
    </row>
    <row r="45" spans="1:17" hidden="1" outlineLevel="1" x14ac:dyDescent="0.25">
      <c r="A45" s="470" t="s">
        <v>71</v>
      </c>
      <c r="B45" s="471"/>
      <c r="C45" s="438" t="s">
        <v>51</v>
      </c>
      <c r="D45" s="439"/>
      <c r="E45" s="439"/>
      <c r="F45" s="440"/>
      <c r="G45" s="59">
        <f>G43+G44</f>
        <v>3000</v>
      </c>
      <c r="H45" s="61">
        <f>H44-H43</f>
        <v>4320</v>
      </c>
      <c r="I45" s="62">
        <f>(G45/G43)*-1</f>
        <v>1.4851485148514851</v>
      </c>
      <c r="L45" s="465"/>
      <c r="M45" s="467"/>
    </row>
    <row r="46" spans="1:17" hidden="1" outlineLevel="1" x14ac:dyDescent="0.25"/>
    <row r="47" spans="1:17" hidden="1" outlineLevel="1" x14ac:dyDescent="0.25">
      <c r="B47" s="49" t="s">
        <v>80</v>
      </c>
      <c r="C47" s="63">
        <v>5.0199999999999996</v>
      </c>
      <c r="D47" s="63">
        <f>C47*M41</f>
        <v>5020</v>
      </c>
      <c r="E47" s="63">
        <f>D47+G43</f>
        <v>3000</v>
      </c>
      <c r="F47" s="64">
        <f>(E47/G43)*-1</f>
        <v>1.4851485148514851</v>
      </c>
      <c r="G47" s="65">
        <f>E47-G45</f>
        <v>0</v>
      </c>
    </row>
    <row r="48" spans="1:17" hidden="1" outlineLevel="1" x14ac:dyDescent="0.25"/>
    <row r="49" spans="1:13" hidden="1" outlineLevel="1" x14ac:dyDescent="0.25">
      <c r="A49" s="438" t="s">
        <v>72</v>
      </c>
      <c r="B49" s="439"/>
      <c r="C49" s="439"/>
      <c r="D49" s="439"/>
      <c r="E49" s="439"/>
      <c r="F49" s="439"/>
      <c r="G49" s="439"/>
      <c r="H49" s="440"/>
      <c r="J49" s="435" t="s">
        <v>81</v>
      </c>
      <c r="K49" s="436"/>
      <c r="L49" s="436"/>
      <c r="M49" s="437"/>
    </row>
    <row r="50" spans="1:13" ht="15" hidden="1" customHeight="1" outlineLevel="1" x14ac:dyDescent="0.25">
      <c r="A50" s="55" t="s">
        <v>74</v>
      </c>
      <c r="B50" s="420" t="s">
        <v>75</v>
      </c>
      <c r="C50" s="421"/>
      <c r="D50" s="420" t="s">
        <v>76</v>
      </c>
      <c r="E50" s="421"/>
      <c r="F50" s="420" t="s">
        <v>54</v>
      </c>
      <c r="G50" s="421"/>
      <c r="H50" s="66" t="s">
        <v>52</v>
      </c>
      <c r="J50" s="429" t="s">
        <v>82</v>
      </c>
      <c r="K50" s="430"/>
      <c r="L50" s="430"/>
      <c r="M50" s="431"/>
    </row>
    <row r="51" spans="1:13" ht="15" hidden="1" customHeight="1" outlineLevel="1" x14ac:dyDescent="0.25">
      <c r="A51" s="67">
        <v>44624</v>
      </c>
      <c r="B51" s="65">
        <f>G43</f>
        <v>-2020</v>
      </c>
      <c r="C51" s="68">
        <f>ABS(G45/B51)</f>
        <v>1.4851485148514851</v>
      </c>
      <c r="D51" s="69">
        <f>G44</f>
        <v>5020</v>
      </c>
      <c r="E51" s="70">
        <f>G32/D51</f>
        <v>0</v>
      </c>
      <c r="F51" s="432">
        <f>B51+D51</f>
        <v>3000</v>
      </c>
      <c r="G51" s="433">
        <f>(F51/(B51*-1))</f>
        <v>1.4851485148514851</v>
      </c>
      <c r="H51" s="71">
        <v>1</v>
      </c>
      <c r="I51" s="72"/>
      <c r="J51" s="429" t="s">
        <v>83</v>
      </c>
      <c r="K51" s="430"/>
      <c r="L51" s="430"/>
      <c r="M51" s="431"/>
    </row>
    <row r="52" spans="1:13" ht="14.25" hidden="1" customHeight="1" outlineLevel="1" x14ac:dyDescent="0.25">
      <c r="F52" s="432"/>
      <c r="G52" s="434"/>
      <c r="H52" s="73">
        <f>ABS(G43)*H51</f>
        <v>2020</v>
      </c>
    </row>
    <row r="53" spans="1:13" hidden="1" outlineLevel="1" x14ac:dyDescent="0.25">
      <c r="G53" s="74" t="s">
        <v>84</v>
      </c>
      <c r="H53" s="3">
        <f>ABS(G43)+H52</f>
        <v>4040</v>
      </c>
      <c r="I53" s="17"/>
    </row>
    <row r="54" spans="1:13" hidden="1" outlineLevel="1" x14ac:dyDescent="0.25"/>
    <row r="55" spans="1:13" collapsed="1" x14ac:dyDescent="0.25"/>
    <row r="56" spans="1:13" ht="20.25" x14ac:dyDescent="0.25">
      <c r="A56" s="426">
        <v>2023</v>
      </c>
      <c r="B56" s="427"/>
      <c r="C56" s="427"/>
      <c r="D56" s="427"/>
      <c r="E56" s="427"/>
      <c r="F56" s="427"/>
      <c r="G56" s="427"/>
      <c r="H56" s="427"/>
      <c r="I56" s="427"/>
      <c r="J56" s="427"/>
      <c r="K56" s="427"/>
      <c r="L56" s="428"/>
    </row>
    <row r="57" spans="1:13" ht="23.25" outlineLevel="1" x14ac:dyDescent="0.25">
      <c r="A57" s="393" t="s">
        <v>93</v>
      </c>
      <c r="B57" s="394"/>
      <c r="C57" s="394"/>
      <c r="D57" s="394"/>
      <c r="E57" s="394"/>
      <c r="F57" s="394"/>
      <c r="G57" s="394"/>
      <c r="H57" s="394"/>
      <c r="I57" s="394"/>
      <c r="J57" s="394"/>
      <c r="K57" s="394"/>
      <c r="L57" s="395"/>
    </row>
    <row r="58" spans="1:13" ht="14.25" hidden="1" customHeight="1" outlineLevel="2" x14ac:dyDescent="0.25"/>
    <row r="59" spans="1:13" ht="21" hidden="1" customHeight="1" outlineLevel="2" x14ac:dyDescent="0.25">
      <c r="A59" s="101" t="s">
        <v>21</v>
      </c>
      <c r="B59" s="426" t="s">
        <v>68</v>
      </c>
      <c r="C59" s="427"/>
      <c r="D59" s="427"/>
      <c r="E59" s="427"/>
      <c r="F59" s="427"/>
      <c r="G59" s="427"/>
      <c r="H59" s="428"/>
      <c r="I59" s="99" t="s">
        <v>35</v>
      </c>
      <c r="J59" s="101" t="e">
        <f>RTD("tryd.rtdserver",,"COT",A61,"Expir")</f>
        <v>#N/A</v>
      </c>
      <c r="K59" s="45" t="s">
        <v>34</v>
      </c>
      <c r="L59" s="46">
        <v>1000</v>
      </c>
    </row>
    <row r="60" spans="1:13" ht="14.25" hidden="1" customHeight="1" outlineLevel="2" x14ac:dyDescent="0.25">
      <c r="A60" s="143" t="s">
        <v>36</v>
      </c>
      <c r="B60" s="144" t="s">
        <v>37</v>
      </c>
      <c r="C60" s="143" t="s">
        <v>39</v>
      </c>
      <c r="D60" s="143" t="s">
        <v>40</v>
      </c>
      <c r="E60" s="143" t="s">
        <v>41</v>
      </c>
      <c r="F60" s="143" t="s">
        <v>42</v>
      </c>
      <c r="G60" s="143" t="s">
        <v>43</v>
      </c>
      <c r="H60" s="145" t="s">
        <v>57</v>
      </c>
      <c r="I60" s="146" t="s">
        <v>77</v>
      </c>
      <c r="J60" s="146" t="s">
        <v>78</v>
      </c>
      <c r="K60" s="396" t="s">
        <v>35</v>
      </c>
      <c r="L60" s="397"/>
    </row>
    <row r="61" spans="1:13" ht="14.25" hidden="1" customHeight="1" outlineLevel="2" x14ac:dyDescent="0.25">
      <c r="A61" s="424" t="s">
        <v>92</v>
      </c>
      <c r="B61" s="75" t="s">
        <v>60</v>
      </c>
      <c r="C61" s="76">
        <v>36.229999999999997</v>
      </c>
      <c r="D61" s="77">
        <v>3.75</v>
      </c>
      <c r="E61" s="422" t="e">
        <f>RTD("tryd.rtdserver",,"COT",A61,"Exerc")</f>
        <v>#N/A</v>
      </c>
      <c r="F61" s="78" t="e">
        <f>ABS(C61-E61)/C61</f>
        <v>#N/A</v>
      </c>
      <c r="G61" s="79">
        <f>D61*L59*-1</f>
        <v>-3750</v>
      </c>
      <c r="H61" s="410">
        <f>(G63/G61)*-1</f>
        <v>-1</v>
      </c>
      <c r="I61" s="422" t="e">
        <f>IF(E61&lt;C62,C62-E61,0)</f>
        <v>#N/A</v>
      </c>
      <c r="J61" s="422" t="e">
        <f>D62-I61</f>
        <v>#N/A</v>
      </c>
      <c r="K61" s="80" t="s">
        <v>47</v>
      </c>
      <c r="L61" s="80" t="s">
        <v>48</v>
      </c>
    </row>
    <row r="62" spans="1:13" ht="14.25" hidden="1" customHeight="1" outlineLevel="2" x14ac:dyDescent="0.25">
      <c r="A62" s="425"/>
      <c r="B62" s="151" t="s">
        <v>70</v>
      </c>
      <c r="C62" s="150">
        <v>42.7</v>
      </c>
      <c r="D62" s="150">
        <v>0</v>
      </c>
      <c r="E62" s="423"/>
      <c r="F62" s="78" t="e">
        <f>ABS(C62-E61)/C62</f>
        <v>#N/A</v>
      </c>
      <c r="G62" s="79">
        <f>D62*L59</f>
        <v>0</v>
      </c>
      <c r="H62" s="411"/>
      <c r="I62" s="423"/>
      <c r="J62" s="423"/>
      <c r="K62" s="161" t="e">
        <f>RTD("tryd.rtdserver",,"COT",A61,"DiasExpir")</f>
        <v>#N/A</v>
      </c>
      <c r="L62" s="161" t="e">
        <f>RTD("tryd.rtdserver",,"COT",A61,"DiaUtExp")</f>
        <v>#N/A</v>
      </c>
    </row>
    <row r="63" spans="1:13" ht="14.25" hidden="1" customHeight="1" outlineLevel="2" x14ac:dyDescent="0.25">
      <c r="C63" s="153" t="s">
        <v>52</v>
      </c>
      <c r="D63" s="149">
        <v>7.8</v>
      </c>
      <c r="E63" s="391">
        <f>(D63*L59)+G61</f>
        <v>4050</v>
      </c>
      <c r="G63" s="389">
        <f>G61+G62</f>
        <v>-3750</v>
      </c>
      <c r="H63" s="153" t="s">
        <v>94</v>
      </c>
    </row>
    <row r="64" spans="1:13" ht="14.25" hidden="1" customHeight="1" outlineLevel="2" x14ac:dyDescent="0.25">
      <c r="E64" s="392"/>
      <c r="G64" s="390"/>
      <c r="H64" s="164" t="e">
        <f>E61+D61</f>
        <v>#N/A</v>
      </c>
    </row>
    <row r="65" spans="1:12" ht="14.25" hidden="1" customHeight="1" outlineLevel="2" x14ac:dyDescent="0.25">
      <c r="A65" s="146" t="s">
        <v>53</v>
      </c>
      <c r="B65" s="165">
        <v>121737.57</v>
      </c>
      <c r="C65" s="7"/>
    </row>
    <row r="66" spans="1:12" ht="14.25" hidden="1" customHeight="1" outlineLevel="2" x14ac:dyDescent="0.25">
      <c r="A66" s="146" t="s">
        <v>89</v>
      </c>
      <c r="B66" s="165">
        <f>G63</f>
        <v>-3750</v>
      </c>
      <c r="C66" s="82">
        <f>B66/B65</f>
        <v>-3.0803966269410503E-2</v>
      </c>
    </row>
    <row r="67" spans="1:12" ht="14.25" hidden="1" customHeight="1" outlineLevel="2" x14ac:dyDescent="0.25">
      <c r="A67" s="414" t="s">
        <v>72</v>
      </c>
      <c r="B67" s="415"/>
      <c r="C67" s="415"/>
      <c r="D67" s="415"/>
      <c r="E67" s="415"/>
      <c r="F67" s="415"/>
      <c r="G67" s="415"/>
      <c r="H67" s="416"/>
      <c r="I67" s="153" t="s">
        <v>100</v>
      </c>
      <c r="J67" s="153" t="s">
        <v>91</v>
      </c>
    </row>
    <row r="68" spans="1:12" ht="14.25" hidden="1" customHeight="1" outlineLevel="2" x14ac:dyDescent="0.25">
      <c r="A68" s="417" t="s">
        <v>74</v>
      </c>
      <c r="B68" s="418"/>
      <c r="C68" s="419"/>
      <c r="D68" s="412" t="s">
        <v>101</v>
      </c>
      <c r="E68" s="413"/>
      <c r="F68" s="412" t="s">
        <v>54</v>
      </c>
      <c r="G68" s="413"/>
      <c r="H68" s="153" t="s">
        <v>52</v>
      </c>
      <c r="I68" s="79">
        <f>L59*D63</f>
        <v>7800</v>
      </c>
      <c r="J68" s="79">
        <f>G62-I68</f>
        <v>-7800</v>
      </c>
    </row>
    <row r="69" spans="1:12" ht="14.25" hidden="1" customHeight="1" outlineLevel="2" x14ac:dyDescent="0.25">
      <c r="A69" s="81">
        <v>45224</v>
      </c>
      <c r="B69" s="79">
        <f>G61</f>
        <v>-3750</v>
      </c>
      <c r="C69" s="82">
        <f>ABS(G63/B69)</f>
        <v>1</v>
      </c>
      <c r="D69" s="79">
        <f>G63</f>
        <v>-3750</v>
      </c>
      <c r="E69" s="83">
        <f>D69/B65</f>
        <v>-3.0803966269410503E-2</v>
      </c>
      <c r="F69" s="408">
        <f>G63</f>
        <v>-3750</v>
      </c>
      <c r="G69" s="410">
        <f>IF((F69/(B69*-1))&lt;= 0,0,(F69/(B69*-1)))</f>
        <v>0</v>
      </c>
      <c r="H69" s="154">
        <f>D63/D61</f>
        <v>2.08</v>
      </c>
      <c r="I69" s="139"/>
      <c r="L69" t="s">
        <v>29</v>
      </c>
    </row>
    <row r="70" spans="1:12" ht="14.25" hidden="1" customHeight="1" outlineLevel="2" x14ac:dyDescent="0.25">
      <c r="F70" s="409"/>
      <c r="G70" s="411"/>
      <c r="H70" s="155">
        <f>ABS(G61)*H69</f>
        <v>7800</v>
      </c>
      <c r="I70" s="7"/>
      <c r="J70" s="141"/>
    </row>
    <row r="71" spans="1:12" ht="14.25" hidden="1" customHeight="1" outlineLevel="2" x14ac:dyDescent="0.25">
      <c r="H71" s="7"/>
    </row>
    <row r="72" spans="1:12" ht="14.25" customHeight="1" outlineLevel="1" collapsed="1" x14ac:dyDescent="0.25">
      <c r="J72" s="162"/>
      <c r="K72" s="173"/>
      <c r="L72" s="84"/>
    </row>
    <row r="73" spans="1:12" ht="14.25" customHeight="1" outlineLevel="1" x14ac:dyDescent="0.25">
      <c r="J73" s="162"/>
      <c r="K73" s="173"/>
      <c r="L73" s="84"/>
    </row>
    <row r="74" spans="1:12" ht="14.25" customHeight="1" outlineLevel="1" x14ac:dyDescent="0.25">
      <c r="A74" s="146" t="s">
        <v>96</v>
      </c>
      <c r="B74" s="146" t="s">
        <v>110</v>
      </c>
      <c r="C74" s="146" t="s">
        <v>111</v>
      </c>
      <c r="D74" s="146" t="s">
        <v>41</v>
      </c>
      <c r="E74" s="146" t="s">
        <v>59</v>
      </c>
      <c r="F74" s="146" t="s">
        <v>115</v>
      </c>
      <c r="G74" s="146" t="s">
        <v>49</v>
      </c>
      <c r="H74" s="146" t="s">
        <v>34</v>
      </c>
      <c r="I74" s="396" t="s">
        <v>44</v>
      </c>
      <c r="J74" s="397"/>
      <c r="K74" s="146" t="s">
        <v>87</v>
      </c>
      <c r="L74" s="84"/>
    </row>
    <row r="75" spans="1:12" ht="14.25" customHeight="1" outlineLevel="1" x14ac:dyDescent="0.25">
      <c r="A75" s="184" t="s">
        <v>104</v>
      </c>
      <c r="B75" s="185">
        <v>45359</v>
      </c>
      <c r="C75" s="185">
        <v>45425</v>
      </c>
      <c r="D75" s="187">
        <v>39.840000000000003</v>
      </c>
      <c r="E75" s="183">
        <v>-1.95</v>
      </c>
      <c r="F75" s="183" t="e">
        <f>RTD("tryd.rtdserver",,"COT",$A75,"Ult")</f>
        <v>#N/A</v>
      </c>
      <c r="G75" s="183">
        <v>2.67</v>
      </c>
      <c r="H75" s="186">
        <v>1000</v>
      </c>
      <c r="I75" s="183">
        <f t="shared" ref="I75:I80" si="0">E75+G75</f>
        <v>0.72</v>
      </c>
      <c r="J75" s="188">
        <f t="shared" ref="J75:J80" si="1">(E75+G75)/ABS(E75)</f>
        <v>0.36923076923076925</v>
      </c>
      <c r="K75" s="183">
        <f t="shared" ref="K75:K80" si="2">I75*H75</f>
        <v>720</v>
      </c>
      <c r="L75" s="84"/>
    </row>
    <row r="76" spans="1:12" ht="14.25" customHeight="1" outlineLevel="1" x14ac:dyDescent="0.25">
      <c r="A76" s="184" t="s">
        <v>106</v>
      </c>
      <c r="B76" s="185">
        <v>45359</v>
      </c>
      <c r="C76" s="185">
        <v>45425</v>
      </c>
      <c r="D76" s="187">
        <v>38.450000000000003</v>
      </c>
      <c r="E76" s="183">
        <v>-0.91</v>
      </c>
      <c r="F76" s="183" t="e">
        <f>RTD("tryd.rtdserver",,"COT",$A76,"Ult")</f>
        <v>#N/A</v>
      </c>
      <c r="G76" s="183">
        <v>2.15</v>
      </c>
      <c r="H76" s="186">
        <v>500</v>
      </c>
      <c r="I76" s="183">
        <f t="shared" si="0"/>
        <v>1.2399999999999998</v>
      </c>
      <c r="J76" s="188">
        <f t="shared" si="1"/>
        <v>1.3626373626373622</v>
      </c>
      <c r="K76" s="183">
        <f t="shared" si="2"/>
        <v>619.99999999999989</v>
      </c>
      <c r="L76" s="84"/>
    </row>
    <row r="77" spans="1:12" ht="14.25" customHeight="1" outlineLevel="1" x14ac:dyDescent="0.25">
      <c r="A77" s="184" t="s">
        <v>106</v>
      </c>
      <c r="B77" s="185">
        <v>45359</v>
      </c>
      <c r="C77" s="185">
        <v>45425</v>
      </c>
      <c r="D77" s="187">
        <v>38.450000000000003</v>
      </c>
      <c r="E77" s="183">
        <v>-0.91</v>
      </c>
      <c r="F77" s="183" t="e">
        <f>RTD("tryd.rtdserver",,"COT",$A77,"Ult")</f>
        <v>#N/A</v>
      </c>
      <c r="G77" s="183">
        <v>3.9</v>
      </c>
      <c r="H77" s="186">
        <v>500</v>
      </c>
      <c r="I77" s="183">
        <f t="shared" si="0"/>
        <v>2.9899999999999998</v>
      </c>
      <c r="J77" s="188">
        <f t="shared" si="1"/>
        <v>3.2857142857142851</v>
      </c>
      <c r="K77" s="183">
        <f t="shared" si="2"/>
        <v>1494.9999999999998</v>
      </c>
      <c r="L77" s="84"/>
    </row>
    <row r="78" spans="1:12" ht="14.25" customHeight="1" outlineLevel="1" x14ac:dyDescent="0.25">
      <c r="A78" s="184" t="s">
        <v>107</v>
      </c>
      <c r="B78" s="185">
        <v>45359</v>
      </c>
      <c r="C78" s="185">
        <v>45425</v>
      </c>
      <c r="D78" s="187">
        <v>35.130000000000003</v>
      </c>
      <c r="E78" s="183">
        <v>-4.45</v>
      </c>
      <c r="F78" s="183" t="e">
        <f>RTD("tryd.rtdserver",,"COT",$A78,"Ult")</f>
        <v>#N/A</v>
      </c>
      <c r="G78" s="183">
        <v>9.1999999999999993</v>
      </c>
      <c r="H78" s="186">
        <v>100</v>
      </c>
      <c r="I78" s="183">
        <f t="shared" si="0"/>
        <v>4.7499999999999991</v>
      </c>
      <c r="J78" s="188">
        <f t="shared" si="1"/>
        <v>1.0674157303370784</v>
      </c>
      <c r="K78" s="183">
        <f t="shared" si="2"/>
        <v>474.99999999999989</v>
      </c>
      <c r="L78" s="84"/>
    </row>
    <row r="79" spans="1:12" ht="14.25" customHeight="1" outlineLevel="1" x14ac:dyDescent="0.25">
      <c r="A79" s="184" t="s">
        <v>104</v>
      </c>
      <c r="B79" s="185">
        <v>45350</v>
      </c>
      <c r="C79" s="203">
        <v>45464</v>
      </c>
      <c r="D79" s="187">
        <v>40.29</v>
      </c>
      <c r="E79" s="183">
        <v>-2.8</v>
      </c>
      <c r="F79" s="183" t="e">
        <f>RTD("tryd.rtdserver",,"COT",$A79,"Ult")</f>
        <v>#N/A</v>
      </c>
      <c r="G79" s="183">
        <v>0.01</v>
      </c>
      <c r="H79" s="186">
        <v>1000</v>
      </c>
      <c r="I79" s="183">
        <f t="shared" si="0"/>
        <v>-2.79</v>
      </c>
      <c r="J79" s="188">
        <f t="shared" si="1"/>
        <v>-0.99642857142857155</v>
      </c>
      <c r="K79" s="183">
        <f t="shared" si="2"/>
        <v>-2790</v>
      </c>
      <c r="L79" s="84"/>
    </row>
    <row r="80" spans="1:12" ht="14.25" customHeight="1" outlineLevel="1" x14ac:dyDescent="0.25">
      <c r="A80" s="184" t="s">
        <v>104</v>
      </c>
      <c r="B80" s="185">
        <v>45427</v>
      </c>
      <c r="C80" s="203">
        <v>45982</v>
      </c>
      <c r="D80" s="187">
        <v>38.520000000000003</v>
      </c>
      <c r="E80" s="183">
        <v>-6.53</v>
      </c>
      <c r="F80" s="183">
        <v>5.95</v>
      </c>
      <c r="G80" s="183">
        <v>5.95</v>
      </c>
      <c r="H80" s="186">
        <v>200</v>
      </c>
      <c r="I80" s="183">
        <f t="shared" si="0"/>
        <v>-0.58000000000000007</v>
      </c>
      <c r="J80" s="188">
        <f t="shared" si="1"/>
        <v>-8.8820826952526813E-2</v>
      </c>
      <c r="K80" s="183">
        <f t="shared" si="2"/>
        <v>-116.00000000000001</v>
      </c>
      <c r="L80" s="84"/>
    </row>
    <row r="81" spans="1:12" ht="14.25" customHeight="1" outlineLevel="1" x14ac:dyDescent="0.25">
      <c r="E81" s="7"/>
      <c r="L81" s="84"/>
    </row>
    <row r="82" spans="1:12" ht="14.25" customHeight="1" outlineLevel="1" x14ac:dyDescent="0.25">
      <c r="A82" s="184" t="s">
        <v>84</v>
      </c>
      <c r="D82" s="7"/>
      <c r="E82" s="7"/>
      <c r="K82" s="183">
        <f>SUM(K75:K80)</f>
        <v>404</v>
      </c>
      <c r="L82" s="84"/>
    </row>
    <row r="83" spans="1:12" ht="14.25" customHeight="1" outlineLevel="1" x14ac:dyDescent="0.25">
      <c r="D83" s="7"/>
      <c r="E83" s="7"/>
      <c r="F83" s="7"/>
      <c r="L83" s="84"/>
    </row>
    <row r="84" spans="1:12" ht="14.25" customHeight="1" outlineLevel="2" x14ac:dyDescent="0.25">
      <c r="A84" s="217" t="s">
        <v>96</v>
      </c>
      <c r="B84" s="217" t="s">
        <v>110</v>
      </c>
      <c r="C84" s="217" t="s">
        <v>111</v>
      </c>
      <c r="D84" s="217" t="s">
        <v>41</v>
      </c>
      <c r="E84" s="217" t="s">
        <v>59</v>
      </c>
      <c r="F84" s="217" t="s">
        <v>115</v>
      </c>
      <c r="G84" s="217" t="s">
        <v>34</v>
      </c>
      <c r="H84" s="405" t="s">
        <v>51</v>
      </c>
      <c r="I84" s="406"/>
      <c r="J84" s="407"/>
      <c r="K84" s="217" t="s">
        <v>126</v>
      </c>
    </row>
    <row r="85" spans="1:12" ht="14.25" customHeight="1" outlineLevel="2" x14ac:dyDescent="0.25">
      <c r="A85" s="218" t="s">
        <v>116</v>
      </c>
      <c r="B85" s="219">
        <v>45427</v>
      </c>
      <c r="C85" s="219">
        <v>45622</v>
      </c>
      <c r="D85" s="220">
        <v>36.869999999999997</v>
      </c>
      <c r="E85" s="220">
        <v>-6.07</v>
      </c>
      <c r="F85" s="220">
        <f>IF(A85&lt;&gt;"",ObterCotacao(A85, "strike"),0)</f>
        <v>44.63</v>
      </c>
      <c r="G85" s="221">
        <v>200</v>
      </c>
      <c r="H85" s="220">
        <f>F85+E85</f>
        <v>38.56</v>
      </c>
      <c r="I85" s="222">
        <f>(E85+F85)/ABS(E85)</f>
        <v>6.3525535420098844</v>
      </c>
      <c r="J85" s="220">
        <f>H85*G85</f>
        <v>7712</v>
      </c>
      <c r="K85" s="220">
        <f>G85*D87</f>
        <v>8926</v>
      </c>
    </row>
    <row r="86" spans="1:12" ht="14.25" customHeight="1" outlineLevel="3" x14ac:dyDescent="0.25">
      <c r="A86" s="223" t="s">
        <v>37</v>
      </c>
      <c r="B86" s="217" t="s">
        <v>39</v>
      </c>
      <c r="C86" s="217" t="s">
        <v>40</v>
      </c>
      <c r="D86" s="217" t="s">
        <v>41</v>
      </c>
      <c r="E86" s="217" t="s">
        <v>43</v>
      </c>
      <c r="F86" s="217" t="s">
        <v>133</v>
      </c>
      <c r="G86" s="224" t="s">
        <v>57</v>
      </c>
      <c r="H86" s="217" t="s">
        <v>77</v>
      </c>
      <c r="I86" s="217" t="s">
        <v>78</v>
      </c>
      <c r="J86" s="223" t="s">
        <v>35</v>
      </c>
      <c r="K86" s="225" t="str">
        <f>ObterCotacao(A85, "due_date")</f>
        <v>16/10/2026</v>
      </c>
    </row>
    <row r="87" spans="1:12" ht="14.25" customHeight="1" outlineLevel="3" x14ac:dyDescent="0.25">
      <c r="A87" s="226" t="s">
        <v>60</v>
      </c>
      <c r="B87" s="227">
        <v>38.5</v>
      </c>
      <c r="C87" s="227">
        <v>6.07</v>
      </c>
      <c r="D87" s="398">
        <f>IF(A85&lt;&gt;"",ObterCotacao(A85, "strike"),0)</f>
        <v>44.63</v>
      </c>
      <c r="E87" s="228">
        <f>C87*G85*-1</f>
        <v>-1214</v>
      </c>
      <c r="F87" s="404">
        <f>H85*G85</f>
        <v>7712</v>
      </c>
      <c r="G87" s="402">
        <f>((E87+E88)/E87)*-1</f>
        <v>-0.98682042833607908</v>
      </c>
      <c r="H87" s="400">
        <f>B88-D87</f>
        <v>-6.490000000000002</v>
      </c>
      <c r="I87" s="400">
        <f>C88-H87</f>
        <v>6.5700000000000021</v>
      </c>
      <c r="J87" s="217" t="s">
        <v>47</v>
      </c>
      <c r="K87" s="217" t="s">
        <v>48</v>
      </c>
    </row>
    <row r="88" spans="1:12" ht="14.25" customHeight="1" outlineLevel="3" x14ac:dyDescent="0.25">
      <c r="A88" s="229" t="s">
        <v>61</v>
      </c>
      <c r="B88" s="227">
        <f>ObterCotacao("PETR4", "close", TRUE)</f>
        <v>38.14</v>
      </c>
      <c r="C88" s="227">
        <v>0.08</v>
      </c>
      <c r="D88" s="399"/>
      <c r="E88" s="228">
        <f>C88*G85</f>
        <v>16</v>
      </c>
      <c r="F88" s="404"/>
      <c r="G88" s="403"/>
      <c r="H88" s="401"/>
      <c r="I88" s="401"/>
      <c r="J88" s="221">
        <f>IF(A85&lt;&gt;"",ObterCotacao(A85, "days_to_maturity"),"")</f>
        <v>76</v>
      </c>
      <c r="K88" s="221">
        <f>IF(A85&lt;&gt;"",ObterCotacao(A85, "days_to_maturity"),"")</f>
        <v>76</v>
      </c>
    </row>
    <row r="89" spans="1:12" ht="14.25" customHeight="1" outlineLevel="2" x14ac:dyDescent="0.25">
      <c r="I89" s="7"/>
      <c r="J89" s="217" t="s">
        <v>145</v>
      </c>
      <c r="K89" s="238">
        <f>K88/30</f>
        <v>2.5333333333333332</v>
      </c>
    </row>
    <row r="90" spans="1:12" ht="14.25" customHeight="1" outlineLevel="2" x14ac:dyDescent="0.25"/>
    <row r="91" spans="1:12" ht="15.75" customHeight="1" x14ac:dyDescent="0.25"/>
    <row r="92" spans="1:12" ht="15.75" customHeight="1" x14ac:dyDescent="0.25"/>
  </sheetData>
  <mergeCells count="100">
    <mergeCell ref="K43:K44"/>
    <mergeCell ref="J43:J44"/>
    <mergeCell ref="A43:A44"/>
    <mergeCell ref="M37:M38"/>
    <mergeCell ref="A38:B38"/>
    <mergeCell ref="C38:F38"/>
    <mergeCell ref="A40:M40"/>
    <mergeCell ref="L42:M42"/>
    <mergeCell ref="L44:L45"/>
    <mergeCell ref="M44:M45"/>
    <mergeCell ref="C45:F45"/>
    <mergeCell ref="E43:E44"/>
    <mergeCell ref="A45:B45"/>
    <mergeCell ref="L37:L38"/>
    <mergeCell ref="A36:A37"/>
    <mergeCell ref="A27:H27"/>
    <mergeCell ref="A25:B25"/>
    <mergeCell ref="C25:F25"/>
    <mergeCell ref="A41:K41"/>
    <mergeCell ref="A34:I34"/>
    <mergeCell ref="L35:M35"/>
    <mergeCell ref="A15:I15"/>
    <mergeCell ref="L16:M16"/>
    <mergeCell ref="A17:A18"/>
    <mergeCell ref="E17:E18"/>
    <mergeCell ref="E23:E24"/>
    <mergeCell ref="L24:L25"/>
    <mergeCell ref="M24:M25"/>
    <mergeCell ref="L18:L19"/>
    <mergeCell ref="M18:M19"/>
    <mergeCell ref="A19:B19"/>
    <mergeCell ref="C19:F19"/>
    <mergeCell ref="L27:M27"/>
    <mergeCell ref="A21:I21"/>
    <mergeCell ref="L22:M22"/>
    <mergeCell ref="A23:A24"/>
    <mergeCell ref="A9:I9"/>
    <mergeCell ref="L10:M10"/>
    <mergeCell ref="A11:A12"/>
    <mergeCell ref="E11:E12"/>
    <mergeCell ref="L12:L13"/>
    <mergeCell ref="M12:M13"/>
    <mergeCell ref="A13:B13"/>
    <mergeCell ref="C13:F13"/>
    <mergeCell ref="A1:M1"/>
    <mergeCell ref="A2:I2"/>
    <mergeCell ref="L3:M3"/>
    <mergeCell ref="A4:A5"/>
    <mergeCell ref="E4:E5"/>
    <mergeCell ref="L5:L6"/>
    <mergeCell ref="M5:M6"/>
    <mergeCell ref="A6:B6"/>
    <mergeCell ref="C6:F6"/>
    <mergeCell ref="J49:M49"/>
    <mergeCell ref="A49:H49"/>
    <mergeCell ref="E36:E37"/>
    <mergeCell ref="B28:C28"/>
    <mergeCell ref="D28:E28"/>
    <mergeCell ref="F28:G28"/>
    <mergeCell ref="L28:L29"/>
    <mergeCell ref="M28:M29"/>
    <mergeCell ref="F29:F30"/>
    <mergeCell ref="H29:H30"/>
    <mergeCell ref="L30:L31"/>
    <mergeCell ref="M30:M31"/>
    <mergeCell ref="G29:G30"/>
    <mergeCell ref="A29:A30"/>
    <mergeCell ref="B29:B30"/>
    <mergeCell ref="D29:D30"/>
    <mergeCell ref="B50:C50"/>
    <mergeCell ref="K60:L60"/>
    <mergeCell ref="J61:J62"/>
    <mergeCell ref="A61:A62"/>
    <mergeCell ref="A56:L56"/>
    <mergeCell ref="J50:M50"/>
    <mergeCell ref="B59:H59"/>
    <mergeCell ref="I61:I62"/>
    <mergeCell ref="F51:F52"/>
    <mergeCell ref="G51:G52"/>
    <mergeCell ref="F50:G50"/>
    <mergeCell ref="J51:M51"/>
    <mergeCell ref="D50:E50"/>
    <mergeCell ref="E61:E62"/>
    <mergeCell ref="H61:H62"/>
    <mergeCell ref="G63:G64"/>
    <mergeCell ref="E63:E64"/>
    <mergeCell ref="A57:L57"/>
    <mergeCell ref="I74:J74"/>
    <mergeCell ref="D87:D88"/>
    <mergeCell ref="H87:H88"/>
    <mergeCell ref="G87:G88"/>
    <mergeCell ref="I87:I88"/>
    <mergeCell ref="F87:F88"/>
    <mergeCell ref="H84:J84"/>
    <mergeCell ref="F69:F70"/>
    <mergeCell ref="G69:G70"/>
    <mergeCell ref="D68:E68"/>
    <mergeCell ref="F68:G68"/>
    <mergeCell ref="A67:H67"/>
    <mergeCell ref="A68:C68"/>
  </mergeCells>
  <conditionalFormatting sqref="B29">
    <cfRule type="cellIs" dxfId="385" priority="410" operator="greaterThan">
      <formula>0</formula>
    </cfRule>
    <cfRule type="cellIs" dxfId="384" priority="411" operator="lessThan">
      <formula>0</formula>
    </cfRule>
  </conditionalFormatting>
  <conditionalFormatting sqref="B51:G51">
    <cfRule type="cellIs" dxfId="383" priority="382" operator="greaterThan">
      <formula>0</formula>
    </cfRule>
    <cfRule type="cellIs" dxfId="382" priority="383" operator="lessThan">
      <formula>0</formula>
    </cfRule>
  </conditionalFormatting>
  <conditionalFormatting sqref="C29:C31">
    <cfRule type="cellIs" dxfId="381" priority="412" operator="greaterThan">
      <formula>0</formula>
    </cfRule>
    <cfRule type="cellIs" dxfId="380" priority="413" operator="lessThan">
      <formula>0</formula>
    </cfRule>
  </conditionalFormatting>
  <conditionalFormatting sqref="D29">
    <cfRule type="cellIs" dxfId="379" priority="408" operator="greaterThan">
      <formula>0</formula>
    </cfRule>
    <cfRule type="cellIs" dxfId="378" priority="409" operator="lessThan">
      <formula>0</formula>
    </cfRule>
  </conditionalFormatting>
  <conditionalFormatting sqref="E29:E31">
    <cfRule type="cellIs" dxfId="377" priority="414" operator="greaterThan">
      <formula>0</formula>
    </cfRule>
    <cfRule type="cellIs" dxfId="376" priority="415" operator="lessThan">
      <formula>0</formula>
    </cfRule>
  </conditionalFormatting>
  <conditionalFormatting sqref="E43:E44">
    <cfRule type="cellIs" dxfId="375" priority="379" operator="lessThan">
      <formula>$C$44</formula>
    </cfRule>
  </conditionalFormatting>
  <conditionalFormatting sqref="E61:E62">
    <cfRule type="cellIs" dxfId="374" priority="329" operator="greaterThanOrEqual">
      <formula>$C$62</formula>
    </cfRule>
    <cfRule type="cellIs" dxfId="373" priority="330" operator="lessThan">
      <formula>$C$62</formula>
    </cfRule>
  </conditionalFormatting>
  <conditionalFormatting sqref="H61">
    <cfRule type="cellIs" dxfId="372" priority="327" operator="lessThan">
      <formula>0</formula>
    </cfRule>
    <cfRule type="cellIs" dxfId="371" priority="328" operator="greaterThanOrEqual">
      <formula>0</formula>
    </cfRule>
  </conditionalFormatting>
  <conditionalFormatting sqref="G63">
    <cfRule type="cellIs" dxfId="370" priority="321" operator="lessThan">
      <formula>0</formula>
    </cfRule>
    <cfRule type="cellIs" dxfId="369" priority="322" operator="greaterThanOrEqual">
      <formula>0</formula>
    </cfRule>
  </conditionalFormatting>
  <conditionalFormatting sqref="F69">
    <cfRule type="cellIs" dxfId="368" priority="319" operator="lessThan">
      <formula>0</formula>
    </cfRule>
    <cfRule type="cellIs" dxfId="367" priority="320" operator="greaterThanOrEqual">
      <formula>0</formula>
    </cfRule>
  </conditionalFormatting>
  <conditionalFormatting sqref="H64">
    <cfRule type="cellIs" dxfId="366" priority="317" operator="lessThan">
      <formula>0</formula>
    </cfRule>
    <cfRule type="cellIs" dxfId="365" priority="318" operator="greaterThanOrEqual">
      <formula>0</formula>
    </cfRule>
  </conditionalFormatting>
  <conditionalFormatting sqref="G69">
    <cfRule type="cellIs" dxfId="364" priority="315" operator="lessThan">
      <formula>0</formula>
    </cfRule>
    <cfRule type="cellIs" dxfId="363" priority="316" operator="greaterThanOrEqual">
      <formula>0</formula>
    </cfRule>
  </conditionalFormatting>
  <conditionalFormatting sqref="I61:I62">
    <cfRule type="cellIs" dxfId="362" priority="313" operator="greaterThanOrEqual">
      <formula>$C$62</formula>
    </cfRule>
    <cfRule type="cellIs" dxfId="361" priority="314" operator="lessThan">
      <formula>$C$62</formula>
    </cfRule>
  </conditionalFormatting>
  <conditionalFormatting sqref="J61:J62">
    <cfRule type="cellIs" dxfId="360" priority="311" operator="greaterThanOrEqual">
      <formula>$C$62</formula>
    </cfRule>
    <cfRule type="cellIs" dxfId="359" priority="312" operator="lessThan">
      <formula>$C$62</formula>
    </cfRule>
  </conditionalFormatting>
  <conditionalFormatting sqref="H85">
    <cfRule type="cellIs" dxfId="358" priority="127" operator="lessThan">
      <formula>0</formula>
    </cfRule>
    <cfRule type="cellIs" dxfId="357" priority="128" operator="greaterThanOrEqual">
      <formula>0</formula>
    </cfRule>
  </conditionalFormatting>
  <conditionalFormatting sqref="E85">
    <cfRule type="cellIs" dxfId="356" priority="123" operator="lessThan">
      <formula>0</formula>
    </cfRule>
    <cfRule type="cellIs" dxfId="355" priority="124" operator="greaterThanOrEqual">
      <formula>0</formula>
    </cfRule>
  </conditionalFormatting>
  <conditionalFormatting sqref="I85">
    <cfRule type="cellIs" dxfId="354" priority="121" operator="lessThan">
      <formula>0</formula>
    </cfRule>
    <cfRule type="cellIs" dxfId="353" priority="122" operator="greaterThanOrEqual">
      <formula>0</formula>
    </cfRule>
  </conditionalFormatting>
  <conditionalFormatting sqref="D85">
    <cfRule type="cellIs" dxfId="352" priority="119" operator="lessThan">
      <formula>0</formula>
    </cfRule>
    <cfRule type="cellIs" dxfId="351" priority="120" operator="greaterThanOrEqual">
      <formula>0</formula>
    </cfRule>
  </conditionalFormatting>
  <conditionalFormatting sqref="F85">
    <cfRule type="cellIs" dxfId="350" priority="117" operator="lessThan">
      <formula>0</formula>
    </cfRule>
    <cfRule type="cellIs" dxfId="349" priority="118" operator="greaterThanOrEqual">
      <formula>0</formula>
    </cfRule>
  </conditionalFormatting>
  <conditionalFormatting sqref="H86:H87 E86:E88">
    <cfRule type="cellIs" dxfId="348" priority="115" operator="lessThan">
      <formula>0</formula>
    </cfRule>
    <cfRule type="cellIs" dxfId="347" priority="116" operator="greaterThanOrEqual">
      <formula>0</formula>
    </cfRule>
  </conditionalFormatting>
  <conditionalFormatting sqref="D87">
    <cfRule type="cellIs" dxfId="346" priority="113" operator="greaterThanOrEqual">
      <formula>$C$62</formula>
    </cfRule>
    <cfRule type="cellIs" dxfId="345" priority="114" operator="lessThan">
      <formula>$C$62</formula>
    </cfRule>
  </conditionalFormatting>
  <conditionalFormatting sqref="G87">
    <cfRule type="cellIs" dxfId="344" priority="111" operator="lessThan">
      <formula>0</formula>
    </cfRule>
    <cfRule type="cellIs" dxfId="343" priority="112" operator="greaterThanOrEqual">
      <formula>0</formula>
    </cfRule>
  </conditionalFormatting>
  <conditionalFormatting sqref="H87:I87">
    <cfRule type="cellIs" dxfId="342" priority="109" operator="greaterThan">
      <formula>0</formula>
    </cfRule>
    <cfRule type="cellIs" dxfId="341" priority="110" operator="lessThan">
      <formula>0</formula>
    </cfRule>
  </conditionalFormatting>
  <conditionalFormatting sqref="D86:D87">
    <cfRule type="cellIs" dxfId="340" priority="107" operator="lessThan">
      <formula>0</formula>
    </cfRule>
    <cfRule type="cellIs" dxfId="339" priority="108" operator="greaterThanOrEqual">
      <formula>0</formula>
    </cfRule>
  </conditionalFormatting>
  <conditionalFormatting sqref="C86:C88">
    <cfRule type="cellIs" dxfId="338" priority="105" operator="lessThan">
      <formula>0</formula>
    </cfRule>
    <cfRule type="cellIs" dxfId="337" priority="106" operator="greaterThanOrEqual">
      <formula>0</formula>
    </cfRule>
  </conditionalFormatting>
  <conditionalFormatting sqref="G86:G87">
    <cfRule type="cellIs" dxfId="336" priority="103" operator="lessThan">
      <formula>0</formula>
    </cfRule>
    <cfRule type="cellIs" dxfId="335" priority="104" operator="greaterThanOrEqual">
      <formula>0</formula>
    </cfRule>
  </conditionalFormatting>
  <conditionalFormatting sqref="K82">
    <cfRule type="cellIs" dxfId="334" priority="69" operator="lessThan">
      <formula>0</formula>
    </cfRule>
    <cfRule type="cellIs" dxfId="333" priority="70" operator="greaterThanOrEqual">
      <formula>0</formula>
    </cfRule>
  </conditionalFormatting>
  <conditionalFormatting sqref="J75">
    <cfRule type="cellIs" dxfId="332" priority="67" operator="lessThan">
      <formula>0</formula>
    </cfRule>
    <cfRule type="cellIs" dxfId="331" priority="68" operator="greaterThanOrEqual">
      <formula>0</formula>
    </cfRule>
  </conditionalFormatting>
  <conditionalFormatting sqref="J76">
    <cfRule type="cellIs" dxfId="330" priority="65" operator="lessThan">
      <formula>0</formula>
    </cfRule>
    <cfRule type="cellIs" dxfId="329" priority="66" operator="greaterThanOrEqual">
      <formula>0</formula>
    </cfRule>
  </conditionalFormatting>
  <conditionalFormatting sqref="E75:E78 I75:I80 K75:K80 G75:G80">
    <cfRule type="cellIs" dxfId="328" priority="71" operator="lessThan">
      <formula>0</formula>
    </cfRule>
    <cfRule type="cellIs" dxfId="327" priority="72" operator="greaterThanOrEqual">
      <formula>0</formula>
    </cfRule>
  </conditionalFormatting>
  <conditionalFormatting sqref="J77">
    <cfRule type="cellIs" dxfId="326" priority="63" operator="lessThan">
      <formula>0</formula>
    </cfRule>
    <cfRule type="cellIs" dxfId="325" priority="64" operator="greaterThanOrEqual">
      <formula>0</formula>
    </cfRule>
  </conditionalFormatting>
  <conditionalFormatting sqref="J78:J80">
    <cfRule type="cellIs" dxfId="324" priority="61" operator="lessThan">
      <formula>0</formula>
    </cfRule>
    <cfRule type="cellIs" dxfId="323" priority="62" operator="greaterThanOrEqual">
      <formula>0</formula>
    </cfRule>
  </conditionalFormatting>
  <conditionalFormatting sqref="D75:D78">
    <cfRule type="cellIs" dxfId="322" priority="59" operator="lessThan">
      <formula>0</formula>
    </cfRule>
    <cfRule type="cellIs" dxfId="321" priority="60" operator="greaterThanOrEqual">
      <formula>0</formula>
    </cfRule>
  </conditionalFormatting>
  <conditionalFormatting sqref="F75:F78">
    <cfRule type="cellIs" dxfId="320" priority="57" operator="lessThan">
      <formula>0</formula>
    </cfRule>
    <cfRule type="cellIs" dxfId="319" priority="58" operator="greaterThanOrEqual">
      <formula>0</formula>
    </cfRule>
  </conditionalFormatting>
  <conditionalFormatting sqref="J85">
    <cfRule type="cellIs" dxfId="318" priority="53" operator="lessThan">
      <formula>0</formula>
    </cfRule>
    <cfRule type="cellIs" dxfId="317" priority="54" operator="greaterThanOrEqual">
      <formula>0</formula>
    </cfRule>
  </conditionalFormatting>
  <conditionalFormatting sqref="K85">
    <cfRule type="cellIs" dxfId="316" priority="11" operator="lessThan">
      <formula>0</formula>
    </cfRule>
    <cfRule type="cellIs" dxfId="315" priority="12" operator="greaterThanOrEqual">
      <formula>0</formula>
    </cfRule>
  </conditionalFormatting>
  <conditionalFormatting sqref="E79:E80">
    <cfRule type="cellIs" dxfId="314" priority="7" operator="lessThan">
      <formula>0</formula>
    </cfRule>
    <cfRule type="cellIs" dxfId="313" priority="8" operator="greaterThanOrEqual">
      <formula>0</formula>
    </cfRule>
  </conditionalFormatting>
  <conditionalFormatting sqref="D79:D80">
    <cfRule type="cellIs" dxfId="312" priority="5" operator="lessThan">
      <formula>0</formula>
    </cfRule>
    <cfRule type="cellIs" dxfId="311" priority="6" operator="greaterThanOrEqual">
      <formula>0</formula>
    </cfRule>
  </conditionalFormatting>
  <conditionalFormatting sqref="F79:F80">
    <cfRule type="cellIs" dxfId="310" priority="3" operator="lessThan">
      <formula>0</formula>
    </cfRule>
    <cfRule type="cellIs" dxfId="309" priority="4" operator="greaterThanOrEqual">
      <formula>0</formula>
    </cfRule>
  </conditionalFormatting>
  <conditionalFormatting sqref="F87">
    <cfRule type="cellIs" dxfId="308" priority="1" operator="lessThan">
      <formula>0</formula>
    </cfRule>
    <cfRule type="cellIs" dxfId="307" priority="2" operator="greater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tualizarCotacoes">
                <anchor moveWithCells="1" sizeWithCells="1">
                  <from>
                    <xdr:col>0</xdr:col>
                    <xdr:colOff>9525</xdr:colOff>
                    <xdr:row>56</xdr:row>
                    <xdr:rowOff>0</xdr:rowOff>
                  </from>
                  <to>
                    <xdr:col>1</xdr:col>
                    <xdr:colOff>504825</xdr:colOff>
                    <xdr:row>56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3"/>
  <dimension ref="A1:O142"/>
  <sheetViews>
    <sheetView topLeftCell="A86" zoomScaleNormal="100" workbookViewId="0">
      <selection activeCell="E101" sqref="E101:E102"/>
    </sheetView>
  </sheetViews>
  <sheetFormatPr defaultRowHeight="14.25" outlineLevelRow="2" x14ac:dyDescent="0.2"/>
  <cols>
    <col min="1" max="1" width="19.7109375" style="96" bestFit="1" customWidth="1"/>
    <col min="2" max="2" width="18.7109375" style="96" customWidth="1"/>
    <col min="3" max="3" width="19.42578125" style="96" bestFit="1" customWidth="1"/>
    <col min="4" max="4" width="17.5703125" style="96" bestFit="1" customWidth="1"/>
    <col min="5" max="5" width="21.42578125" style="96" bestFit="1" customWidth="1"/>
    <col min="6" max="6" width="23.85546875" style="96" bestFit="1" customWidth="1"/>
    <col min="7" max="7" width="21.42578125" style="96" bestFit="1" customWidth="1"/>
    <col min="8" max="8" width="22.42578125" style="96" customWidth="1"/>
    <col min="9" max="9" width="19.42578125" style="96" bestFit="1" customWidth="1"/>
    <col min="10" max="10" width="21" style="96" customWidth="1"/>
    <col min="11" max="11" width="17.85546875" style="96" bestFit="1" customWidth="1"/>
    <col min="12" max="12" width="18.28515625" style="96" bestFit="1" customWidth="1"/>
    <col min="13" max="13" width="15" style="96" bestFit="1" customWidth="1"/>
    <col min="14" max="14" width="11.7109375" style="96" customWidth="1"/>
    <col min="15" max="15" width="16.140625" style="96" bestFit="1" customWidth="1"/>
    <col min="16" max="16" width="6.85546875" style="96" customWidth="1"/>
    <col min="17" max="17" width="12" style="96" bestFit="1" customWidth="1"/>
    <col min="18" max="16384" width="9.140625" style="96"/>
  </cols>
  <sheetData>
    <row r="1" spans="1:13" s="97" customFormat="1" ht="22.5" customHeight="1" x14ac:dyDescent="0.25">
      <c r="A1" s="477" t="s">
        <v>93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9"/>
    </row>
    <row r="2" spans="1:13" s="97" customFormat="1" ht="15.75" hidden="1" customHeight="1" outlineLevel="2" x14ac:dyDescent="0.25">
      <c r="A2" s="480" t="s">
        <v>109</v>
      </c>
      <c r="B2" s="481"/>
      <c r="C2" s="481"/>
      <c r="D2" s="481"/>
      <c r="E2" s="481"/>
      <c r="F2" s="482"/>
      <c r="G2" s="99" t="s">
        <v>97</v>
      </c>
      <c r="H2" s="202" t="e">
        <f>RTD("tryd.rtdserver",,"COT","PETR4","Ult")</f>
        <v>#N/A</v>
      </c>
      <c r="J2" s="483" t="s">
        <v>123</v>
      </c>
      <c r="K2" s="483"/>
      <c r="L2" s="483"/>
      <c r="M2" s="483"/>
    </row>
    <row r="3" spans="1:13" s="97" customFormat="1" ht="15.75" hidden="1" customHeight="1" outlineLevel="2" x14ac:dyDescent="0.25">
      <c r="A3" s="99" t="s">
        <v>96</v>
      </c>
      <c r="B3" s="99" t="s">
        <v>85</v>
      </c>
      <c r="C3" s="99" t="s">
        <v>118</v>
      </c>
      <c r="D3" s="99" t="s">
        <v>34</v>
      </c>
      <c r="E3" s="99" t="s">
        <v>117</v>
      </c>
      <c r="F3" s="99" t="s">
        <v>119</v>
      </c>
      <c r="G3" s="99" t="s">
        <v>2</v>
      </c>
      <c r="H3" s="99" t="s">
        <v>120</v>
      </c>
      <c r="J3" s="172" t="s">
        <v>122</v>
      </c>
      <c r="K3" s="172" t="s">
        <v>86</v>
      </c>
      <c r="L3" s="172" t="s">
        <v>86</v>
      </c>
    </row>
    <row r="4" spans="1:13" s="97" customFormat="1" ht="15.75" hidden="1" customHeight="1" outlineLevel="2" x14ac:dyDescent="0.25">
      <c r="A4" s="102" t="s">
        <v>21</v>
      </c>
      <c r="B4" s="191">
        <v>45684</v>
      </c>
      <c r="C4" s="179">
        <v>36.51</v>
      </c>
      <c r="D4" s="102">
        <v>2800</v>
      </c>
      <c r="E4" s="179">
        <f>D4*C4</f>
        <v>102228</v>
      </c>
      <c r="F4" s="179" t="e">
        <f>$H$2*D4</f>
        <v>#N/A</v>
      </c>
      <c r="G4" s="179" t="e">
        <f>F4-E4</f>
        <v>#N/A</v>
      </c>
      <c r="H4" s="180" t="e">
        <f>G4/E4</f>
        <v>#N/A</v>
      </c>
      <c r="J4" s="207"/>
      <c r="K4" s="208"/>
      <c r="L4" s="208"/>
    </row>
    <row r="5" spans="1:13" s="97" customFormat="1" ht="15.75" hidden="1" customHeight="1" outlineLevel="2" x14ac:dyDescent="0.25">
      <c r="A5" s="102" t="s">
        <v>147</v>
      </c>
      <c r="B5" s="191"/>
      <c r="C5" s="179"/>
      <c r="D5" s="216">
        <v>-200</v>
      </c>
      <c r="E5" s="179">
        <v>3320</v>
      </c>
      <c r="F5" s="179"/>
      <c r="G5" s="179"/>
      <c r="H5" s="180"/>
      <c r="J5" s="191"/>
      <c r="K5" s="192"/>
      <c r="L5" s="192"/>
    </row>
    <row r="6" spans="1:13" s="97" customFormat="1" ht="15.75" hidden="1" customHeight="1" outlineLevel="2" x14ac:dyDescent="0.25">
      <c r="A6" s="102" t="s">
        <v>131</v>
      </c>
      <c r="B6" s="191">
        <v>45678</v>
      </c>
      <c r="C6" s="179"/>
      <c r="D6" s="179"/>
      <c r="E6" s="179">
        <v>-515.32000000000005</v>
      </c>
      <c r="F6" s="179">
        <f>E6</f>
        <v>-515.32000000000005</v>
      </c>
      <c r="G6" s="179">
        <f>E6</f>
        <v>-515.32000000000005</v>
      </c>
      <c r="H6" s="180">
        <f>G6/$E$20</f>
        <v>-4.7764932612626518E-3</v>
      </c>
      <c r="J6" s="191"/>
      <c r="K6" s="192"/>
      <c r="L6" s="192"/>
    </row>
    <row r="7" spans="1:13" s="97" customFormat="1" ht="15.75" hidden="1" customHeight="1" outlineLevel="2" x14ac:dyDescent="0.25">
      <c r="A7" s="102" t="s">
        <v>131</v>
      </c>
      <c r="B7" s="191">
        <v>45684</v>
      </c>
      <c r="C7" s="179"/>
      <c r="D7" s="216"/>
      <c r="E7" s="179">
        <v>-756</v>
      </c>
      <c r="F7" s="179">
        <v>-756</v>
      </c>
      <c r="G7" s="179">
        <f>E7</f>
        <v>-756</v>
      </c>
      <c r="H7" s="180">
        <f>G7/$E$20</f>
        <v>-7.0073525295244977E-3</v>
      </c>
      <c r="J7" s="209"/>
      <c r="K7" s="210"/>
      <c r="L7" s="210"/>
    </row>
    <row r="8" spans="1:13" s="97" customFormat="1" ht="15.75" hidden="1" customHeight="1" outlineLevel="2" x14ac:dyDescent="0.25">
      <c r="A8" s="102" t="s">
        <v>21</v>
      </c>
      <c r="B8" s="191">
        <v>45701</v>
      </c>
      <c r="C8" s="179">
        <v>36.1</v>
      </c>
      <c r="D8" s="102">
        <v>100</v>
      </c>
      <c r="E8" s="179">
        <f>D8*C8</f>
        <v>3610</v>
      </c>
      <c r="F8" s="179">
        <f>E8</f>
        <v>3610</v>
      </c>
      <c r="G8" s="179" t="e">
        <f>D8*H2</f>
        <v>#N/A</v>
      </c>
      <c r="H8" s="180" t="e">
        <f>G8/$E$20</f>
        <v>#N/A</v>
      </c>
      <c r="J8" s="209"/>
      <c r="K8" s="210"/>
      <c r="L8" s="210"/>
    </row>
    <row r="9" spans="1:13" s="97" customFormat="1" ht="15.75" hidden="1" customHeight="1" outlineLevel="2" x14ac:dyDescent="0.25">
      <c r="A9" s="102"/>
      <c r="B9" s="191"/>
      <c r="C9" s="179"/>
      <c r="D9" s="179"/>
      <c r="E9" s="179"/>
      <c r="F9" s="179">
        <f>E9</f>
        <v>0</v>
      </c>
      <c r="G9" s="179">
        <f>E9</f>
        <v>0</v>
      </c>
      <c r="H9" s="180" t="e">
        <f t="shared" ref="H9:H18" si="0">(G9/E9)*-1</f>
        <v>#DIV/0!</v>
      </c>
      <c r="L9" s="230">
        <f>SUM(L4:L8)</f>
        <v>0</v>
      </c>
    </row>
    <row r="10" spans="1:13" s="97" customFormat="1" ht="15.75" hidden="1" customHeight="1" outlineLevel="2" x14ac:dyDescent="0.25">
      <c r="A10" s="102"/>
      <c r="B10" s="191"/>
      <c r="C10" s="179"/>
      <c r="D10" s="179"/>
      <c r="E10" s="179"/>
      <c r="F10" s="179">
        <f>E10</f>
        <v>0</v>
      </c>
      <c r="G10" s="179">
        <f>E10-F10</f>
        <v>0</v>
      </c>
      <c r="H10" s="180" t="e">
        <f t="shared" si="0"/>
        <v>#DIV/0!</v>
      </c>
    </row>
    <row r="11" spans="1:13" s="97" customFormat="1" ht="15.75" hidden="1" customHeight="1" outlineLevel="2" x14ac:dyDescent="0.25">
      <c r="A11" s="102"/>
      <c r="B11" s="191"/>
      <c r="C11" s="179"/>
      <c r="D11" s="216"/>
      <c r="E11" s="179"/>
      <c r="F11" s="179" t="e">
        <f>$H$2*D11</f>
        <v>#N/A</v>
      </c>
      <c r="G11" s="179" t="e">
        <f>E11-F11</f>
        <v>#N/A</v>
      </c>
      <c r="H11" s="180" t="e">
        <f t="shared" si="0"/>
        <v>#N/A</v>
      </c>
    </row>
    <row r="12" spans="1:13" s="97" customFormat="1" ht="15.75" hidden="1" customHeight="1" outlineLevel="2" x14ac:dyDescent="0.25">
      <c r="A12" s="102"/>
      <c r="B12" s="191"/>
      <c r="C12" s="179"/>
      <c r="D12" s="179"/>
      <c r="E12" s="179"/>
      <c r="F12" s="179">
        <f>E12</f>
        <v>0</v>
      </c>
      <c r="G12" s="179">
        <f>E12</f>
        <v>0</v>
      </c>
      <c r="H12" s="180" t="e">
        <f t="shared" si="0"/>
        <v>#DIV/0!</v>
      </c>
    </row>
    <row r="13" spans="1:13" s="97" customFormat="1" ht="15.75" hidden="1" customHeight="1" outlineLevel="2" x14ac:dyDescent="0.25">
      <c r="A13" s="102"/>
      <c r="B13" s="191"/>
      <c r="C13" s="179"/>
      <c r="D13" s="179"/>
      <c r="E13" s="179"/>
      <c r="F13" s="179" t="e">
        <f>$H$2*D13</f>
        <v>#N/A</v>
      </c>
      <c r="G13" s="179" t="e">
        <f>F13-E13</f>
        <v>#N/A</v>
      </c>
      <c r="H13" s="180" t="e">
        <f t="shared" si="0"/>
        <v>#N/A</v>
      </c>
    </row>
    <row r="14" spans="1:13" s="97" customFormat="1" ht="15.75" hidden="1" customHeight="1" outlineLevel="2" x14ac:dyDescent="0.25">
      <c r="A14" s="102"/>
      <c r="B14" s="191"/>
      <c r="C14" s="179"/>
      <c r="D14" s="179"/>
      <c r="E14" s="179"/>
      <c r="F14" s="179">
        <f>E14</f>
        <v>0</v>
      </c>
      <c r="G14" s="179">
        <f>E14</f>
        <v>0</v>
      </c>
      <c r="H14" s="180" t="e">
        <f t="shared" si="0"/>
        <v>#DIV/0!</v>
      </c>
    </row>
    <row r="15" spans="1:13" s="97" customFormat="1" ht="15.75" hidden="1" customHeight="1" outlineLevel="2" x14ac:dyDescent="0.25">
      <c r="A15" s="102"/>
      <c r="B15" s="191"/>
      <c r="C15" s="179"/>
      <c r="D15" s="179"/>
      <c r="E15" s="179"/>
      <c r="F15" s="179">
        <f>E15</f>
        <v>0</v>
      </c>
      <c r="G15" s="179">
        <f>E15-F15</f>
        <v>0</v>
      </c>
      <c r="H15" s="180" t="e">
        <f t="shared" si="0"/>
        <v>#DIV/0!</v>
      </c>
    </row>
    <row r="16" spans="1:13" s="97" customFormat="1" ht="15.75" hidden="1" customHeight="1" outlineLevel="2" x14ac:dyDescent="0.25">
      <c r="A16" s="102"/>
      <c r="B16" s="191"/>
      <c r="C16" s="179"/>
      <c r="D16" s="179"/>
      <c r="E16" s="179"/>
      <c r="F16" s="179">
        <f>E16</f>
        <v>0</v>
      </c>
      <c r="G16" s="179">
        <f>E16-F16</f>
        <v>0</v>
      </c>
      <c r="H16" s="180" t="e">
        <f t="shared" si="0"/>
        <v>#DIV/0!</v>
      </c>
    </row>
    <row r="17" spans="1:14" s="97" customFormat="1" ht="15.75" hidden="1" customHeight="1" outlineLevel="2" x14ac:dyDescent="0.25">
      <c r="A17" s="102"/>
      <c r="B17" s="191"/>
      <c r="C17" s="179"/>
      <c r="D17" s="179"/>
      <c r="E17" s="179"/>
      <c r="F17" s="179">
        <f>E17</f>
        <v>0</v>
      </c>
      <c r="G17" s="179">
        <f>E17-F17</f>
        <v>0</v>
      </c>
      <c r="H17" s="180" t="e">
        <f t="shared" si="0"/>
        <v>#DIV/0!</v>
      </c>
    </row>
    <row r="18" spans="1:14" s="97" customFormat="1" ht="15.75" hidden="1" customHeight="1" outlineLevel="2" x14ac:dyDescent="0.25">
      <c r="A18" s="102"/>
      <c r="B18" s="191"/>
      <c r="C18" s="179"/>
      <c r="D18" s="179"/>
      <c r="E18" s="179"/>
      <c r="F18" s="179" t="e">
        <f>G29</f>
        <v>#N/A</v>
      </c>
      <c r="G18" s="179">
        <f>E18</f>
        <v>0</v>
      </c>
      <c r="H18" s="180" t="e">
        <f t="shared" si="0"/>
        <v>#DIV/0!</v>
      </c>
    </row>
    <row r="19" spans="1:14" s="97" customFormat="1" ht="15.75" hidden="1" customHeight="1" outlineLevel="2" x14ac:dyDescent="0.25">
      <c r="C19" s="214">
        <v>36.75</v>
      </c>
    </row>
    <row r="20" spans="1:14" s="97" customFormat="1" ht="15.75" hidden="1" customHeight="1" outlineLevel="2" x14ac:dyDescent="0.25">
      <c r="A20" s="190"/>
      <c r="B20" s="179" t="s">
        <v>108</v>
      </c>
      <c r="C20" s="204">
        <f>E20/D20</f>
        <v>39.958029629629628</v>
      </c>
      <c r="D20" s="190">
        <f>SUM(D4:D18)</f>
        <v>2700</v>
      </c>
      <c r="E20" s="193">
        <f>SUM(E4:E18)</f>
        <v>107886.68</v>
      </c>
      <c r="F20" s="193" t="e">
        <f>SUM(F4:F18)</f>
        <v>#N/A</v>
      </c>
      <c r="G20" s="179" t="e">
        <f>SUM(G4:G18)</f>
        <v>#N/A</v>
      </c>
      <c r="H20" s="180" t="e">
        <f>G20/E20</f>
        <v>#N/A</v>
      </c>
    </row>
    <row r="21" spans="1:14" s="97" customFormat="1" ht="15.75" hidden="1" customHeight="1" outlineLevel="2" x14ac:dyDescent="0.25">
      <c r="A21" s="200"/>
      <c r="B21" s="200"/>
      <c r="C21" s="200"/>
      <c r="D21" s="200"/>
      <c r="E21" s="200"/>
      <c r="F21" s="200"/>
      <c r="G21" s="200"/>
      <c r="H21" s="201"/>
    </row>
    <row r="22" spans="1:14" s="97" customFormat="1" ht="15.75" hidden="1" customHeight="1" outlineLevel="2" x14ac:dyDescent="0.25">
      <c r="A22" s="200"/>
      <c r="B22" s="484" t="s">
        <v>125</v>
      </c>
      <c r="C22" s="485"/>
      <c r="D22" s="486"/>
      <c r="E22" s="200"/>
      <c r="F22" s="484" t="s">
        <v>128</v>
      </c>
      <c r="G22" s="486"/>
      <c r="H22" s="201"/>
      <c r="I22" s="140"/>
      <c r="M22" s="142"/>
    </row>
    <row r="23" spans="1:14" s="97" customFormat="1" ht="15.75" hidden="1" customHeight="1" outlineLevel="2" x14ac:dyDescent="0.25">
      <c r="B23" s="194" t="s">
        <v>124</v>
      </c>
      <c r="C23" s="179" t="e">
        <f>E44-C19</f>
        <v>#N/A</v>
      </c>
      <c r="D23" s="372" t="e">
        <f>C23/C20</f>
        <v>#N/A</v>
      </c>
      <c r="F23" s="487" t="e">
        <f>G28+C24</f>
        <v>#N/A</v>
      </c>
      <c r="G23" s="488" t="e">
        <f>D23+B31</f>
        <v>#N/A</v>
      </c>
    </row>
    <row r="24" spans="1:14" s="97" customFormat="1" ht="15.75" hidden="1" customHeight="1" outlineLevel="2" x14ac:dyDescent="0.25">
      <c r="C24" s="179" t="e">
        <f>C23*D20</f>
        <v>#N/A</v>
      </c>
      <c r="D24" s="373"/>
      <c r="F24" s="487"/>
      <c r="G24" s="488"/>
      <c r="N24" s="108"/>
    </row>
    <row r="25" spans="1:14" s="97" customFormat="1" ht="15.75" customHeight="1" outlineLevel="1" collapsed="1" x14ac:dyDescent="0.25"/>
    <row r="26" spans="1:14" s="97" customFormat="1" ht="15.75" hidden="1" customHeight="1" outlineLevel="2" x14ac:dyDescent="0.25">
      <c r="A26" s="100" t="s">
        <v>137</v>
      </c>
      <c r="B26" s="102" t="str">
        <f xml:space="preserve"> CONCATENATE(A28, " - ",A29)</f>
        <v>Venda - PUT</v>
      </c>
      <c r="C26" s="234"/>
      <c r="D26" s="234"/>
      <c r="E26" s="234"/>
      <c r="F26" s="234"/>
      <c r="G26" s="234"/>
      <c r="H26" s="234"/>
      <c r="I26" s="234"/>
      <c r="J26" s="234"/>
      <c r="K26" s="234"/>
      <c r="L26" s="234"/>
      <c r="M26" s="235"/>
    </row>
    <row r="27" spans="1:14" s="97" customFormat="1" ht="15.75" hidden="1" customHeight="1" outlineLevel="2" x14ac:dyDescent="0.25">
      <c r="A27" s="102" t="s">
        <v>88</v>
      </c>
      <c r="B27" s="102" t="s">
        <v>112</v>
      </c>
      <c r="C27" s="102" t="s">
        <v>86</v>
      </c>
      <c r="D27" s="102" t="s">
        <v>40</v>
      </c>
      <c r="E27" s="102" t="s">
        <v>41</v>
      </c>
      <c r="F27" s="102" t="s">
        <v>42</v>
      </c>
      <c r="G27" s="102" t="s">
        <v>43</v>
      </c>
      <c r="H27" s="102" t="s">
        <v>34</v>
      </c>
      <c r="I27" s="103" t="s">
        <v>46</v>
      </c>
      <c r="J27" s="103" t="s">
        <v>135</v>
      </c>
      <c r="K27" s="103" t="s">
        <v>47</v>
      </c>
      <c r="L27" s="103" t="s">
        <v>48</v>
      </c>
      <c r="M27" s="103" t="s">
        <v>58</v>
      </c>
    </row>
    <row r="28" spans="1:14" s="97" customFormat="1" ht="15.75" hidden="1" customHeight="1" outlineLevel="2" x14ac:dyDescent="0.25">
      <c r="A28" s="176" t="s">
        <v>49</v>
      </c>
      <c r="B28" s="189" t="s">
        <v>113</v>
      </c>
      <c r="C28" s="179">
        <v>36.89</v>
      </c>
      <c r="D28" s="179">
        <v>0.22</v>
      </c>
      <c r="E28" s="368" t="e">
        <f>RTD("tryd.rtdserver",,"COT",A26,"Exerc")</f>
        <v>#N/A</v>
      </c>
      <c r="F28" s="180" t="e">
        <f>ABS(C28-E28)/C28</f>
        <v>#N/A</v>
      </c>
      <c r="G28" s="179">
        <f>H28*D28</f>
        <v>66</v>
      </c>
      <c r="H28" s="370">
        <v>300</v>
      </c>
      <c r="I28" s="372" t="e">
        <f>G30/G28</f>
        <v>#N/A</v>
      </c>
      <c r="J28" s="374">
        <v>45678</v>
      </c>
      <c r="K28" s="375" t="e">
        <f>RTD("tryd.rtdserver",,"COT",A26,"DiasExpir")</f>
        <v>#N/A</v>
      </c>
      <c r="L28" s="375" t="e">
        <f>RTD("tryd.rtdserver",,"COT",A26,"DiaUtExp")</f>
        <v>#N/A</v>
      </c>
      <c r="M28" s="361" t="e">
        <f>IF(A29="CALL",(IF(C29&gt;=E28,"SIM","NÃO")),IF(A29="PUT",(IF(C29&lt;E28,"SIM","NÃO")),"FECHADO"))</f>
        <v>#N/A</v>
      </c>
    </row>
    <row r="29" spans="1:14" s="97" customFormat="1" ht="15.75" hidden="1" customHeight="1" outlineLevel="2" x14ac:dyDescent="0.25">
      <c r="A29" s="231" t="str">
        <f>IF(AND(MID(A26,5,1)&gt;="M",MID(A26,5,1)&lt;="X"),"PUT","CALL")</f>
        <v>PUT</v>
      </c>
      <c r="B29" s="189" t="s">
        <v>114</v>
      </c>
      <c r="C29" s="179" t="e">
        <f>RTD("tryd.rtdserver",,"COT","PETR4","Ult")</f>
        <v>#N/A</v>
      </c>
      <c r="D29" s="179" t="e">
        <f>RTD("tryd.rtdserver",,"COT",$A26,"Ult")</f>
        <v>#N/A</v>
      </c>
      <c r="E29" s="369"/>
      <c r="F29" s="180" t="e">
        <f>ABS(C29-E28)/C29</f>
        <v>#N/A</v>
      </c>
      <c r="G29" s="179" t="e">
        <f>D29*H28*-1</f>
        <v>#N/A</v>
      </c>
      <c r="H29" s="371"/>
      <c r="I29" s="373"/>
      <c r="J29" s="371"/>
      <c r="K29" s="375"/>
      <c r="L29" s="375"/>
      <c r="M29" s="361"/>
    </row>
    <row r="30" spans="1:14" s="97" customFormat="1" ht="15.75" hidden="1" customHeight="1" outlineLevel="2" x14ac:dyDescent="0.25">
      <c r="A30" s="176" t="s">
        <v>53</v>
      </c>
      <c r="B30" s="362" t="s">
        <v>54</v>
      </c>
      <c r="C30" s="363"/>
      <c r="D30" s="104"/>
      <c r="E30" s="364" t="s">
        <v>51</v>
      </c>
      <c r="F30" s="365"/>
      <c r="G30" s="179" t="e">
        <f>G28+G29</f>
        <v>#N/A</v>
      </c>
    </row>
    <row r="31" spans="1:14" s="97" customFormat="1" ht="15.75" hidden="1" customHeight="1" outlineLevel="2" x14ac:dyDescent="0.25">
      <c r="A31" s="165">
        <v>11029.1</v>
      </c>
      <c r="B31" s="166">
        <f>G28/A31</f>
        <v>5.9841691525147111E-3</v>
      </c>
      <c r="C31" s="165">
        <f>A31+G28</f>
        <v>11095.1</v>
      </c>
      <c r="D31" s="104"/>
      <c r="E31" s="366" t="s">
        <v>58</v>
      </c>
      <c r="F31" s="367" t="e">
        <f>E28*H28</f>
        <v>#N/A</v>
      </c>
      <c r="G31" s="472">
        <f>B31</f>
        <v>5.9841691525147111E-3</v>
      </c>
    </row>
    <row r="32" spans="1:14" s="97" customFormat="1" ht="15.75" hidden="1" customHeight="1" outlineLevel="2" x14ac:dyDescent="0.25">
      <c r="A32" s="181"/>
      <c r="B32" s="181"/>
      <c r="C32" s="181"/>
      <c r="D32" s="181"/>
      <c r="E32" s="366"/>
      <c r="F32" s="367"/>
      <c r="G32" s="472"/>
      <c r="H32" s="108"/>
      <c r="M32" s="167"/>
    </row>
    <row r="33" spans="1:13" s="97" customFormat="1" ht="15.75" hidden="1" customHeight="1" outlineLevel="2" x14ac:dyDescent="0.25">
      <c r="A33" s="181"/>
      <c r="B33" s="181"/>
      <c r="C33" s="181"/>
      <c r="D33" s="233"/>
      <c r="E33" s="181"/>
      <c r="F33" s="181"/>
      <c r="G33" s="181"/>
      <c r="M33" s="167"/>
    </row>
    <row r="34" spans="1:13" s="97" customFormat="1" ht="15.75" hidden="1" customHeight="1" outlineLevel="2" x14ac:dyDescent="0.25">
      <c r="A34" s="100" t="s">
        <v>138</v>
      </c>
      <c r="B34" s="102" t="str">
        <f xml:space="preserve"> CONCATENATE(A36, " - ",A37)</f>
        <v>Venda - CALL</v>
      </c>
      <c r="C34" s="234"/>
      <c r="D34" s="234"/>
      <c r="E34" s="234"/>
      <c r="F34" s="234"/>
      <c r="G34" s="234"/>
      <c r="H34" s="234"/>
      <c r="I34" s="234"/>
      <c r="J34" s="234"/>
      <c r="K34" s="234"/>
      <c r="L34" s="234"/>
      <c r="M34" s="235"/>
    </row>
    <row r="35" spans="1:13" s="97" customFormat="1" ht="15.75" hidden="1" customHeight="1" outlineLevel="2" x14ac:dyDescent="0.25">
      <c r="A35" s="102" t="s">
        <v>88</v>
      </c>
      <c r="B35" s="102" t="s">
        <v>112</v>
      </c>
      <c r="C35" s="102" t="s">
        <v>86</v>
      </c>
      <c r="D35" s="102" t="s">
        <v>40</v>
      </c>
      <c r="E35" s="102" t="s">
        <v>41</v>
      </c>
      <c r="F35" s="102" t="s">
        <v>42</v>
      </c>
      <c r="G35" s="102" t="s">
        <v>43</v>
      </c>
      <c r="H35" s="102" t="s">
        <v>34</v>
      </c>
      <c r="I35" s="103" t="s">
        <v>46</v>
      </c>
      <c r="J35" s="103" t="s">
        <v>135</v>
      </c>
      <c r="K35" s="103" t="s">
        <v>47</v>
      </c>
      <c r="L35" s="103" t="s">
        <v>48</v>
      </c>
      <c r="M35" s="103" t="s">
        <v>58</v>
      </c>
    </row>
    <row r="36" spans="1:13" s="97" customFormat="1" ht="15.75" hidden="1" customHeight="1" outlineLevel="2" x14ac:dyDescent="0.25">
      <c r="A36" s="176" t="s">
        <v>49</v>
      </c>
      <c r="B36" s="189" t="s">
        <v>113</v>
      </c>
      <c r="C36" s="179">
        <v>36.86</v>
      </c>
      <c r="D36" s="179">
        <v>0.18</v>
      </c>
      <c r="E36" s="368" t="e">
        <f>RTD("tryd.rtdserver",,"COT",A34,"Exerc")</f>
        <v>#N/A</v>
      </c>
      <c r="F36" s="180" t="e">
        <f>ABS(C36-E36)/C36</f>
        <v>#N/A</v>
      </c>
      <c r="G36" s="179">
        <f>H36*D36</f>
        <v>450</v>
      </c>
      <c r="H36" s="370">
        <v>2500</v>
      </c>
      <c r="I36" s="372" t="e">
        <f>G38/G36</f>
        <v>#N/A</v>
      </c>
      <c r="J36" s="374">
        <v>45678</v>
      </c>
      <c r="K36" s="375" t="e">
        <f>RTD("tryd.rtdserver",,"COT",A34,"DiasExpir")</f>
        <v>#N/A</v>
      </c>
      <c r="L36" s="375" t="e">
        <f>RTD("tryd.rtdserver",,"COT",A34,"DiaUtExp")</f>
        <v>#N/A</v>
      </c>
      <c r="M36" s="361" t="s">
        <v>142</v>
      </c>
    </row>
    <row r="37" spans="1:13" s="97" customFormat="1" ht="15.75" hidden="1" customHeight="1" outlineLevel="2" x14ac:dyDescent="0.25">
      <c r="A37" s="231" t="str">
        <f>IF(AND(MID(A34,5,1)&gt;="M",MID(A34,5,1)&lt;="X"),"PUT","CALL")</f>
        <v>CALL</v>
      </c>
      <c r="B37" s="189" t="s">
        <v>114</v>
      </c>
      <c r="C37" s="179" t="e">
        <f>RTD("tryd.rtdserver",,"COT","PETR4","Ult")</f>
        <v>#N/A</v>
      </c>
      <c r="D37" s="179" t="e">
        <f>RTD("tryd.rtdserver",,"COT",$A34,"Ult")</f>
        <v>#N/A</v>
      </c>
      <c r="E37" s="369"/>
      <c r="F37" s="180" t="e">
        <f>ABS(C37-E36)/C37</f>
        <v>#N/A</v>
      </c>
      <c r="G37" s="179" t="e">
        <f>D37*H36*-1</f>
        <v>#N/A</v>
      </c>
      <c r="H37" s="371"/>
      <c r="I37" s="373"/>
      <c r="J37" s="371"/>
      <c r="K37" s="375"/>
      <c r="L37" s="375"/>
      <c r="M37" s="361"/>
    </row>
    <row r="38" spans="1:13" s="97" customFormat="1" ht="15.75" hidden="1" customHeight="1" outlineLevel="2" x14ac:dyDescent="0.25">
      <c r="A38" s="176" t="s">
        <v>53</v>
      </c>
      <c r="B38" s="362" t="s">
        <v>54</v>
      </c>
      <c r="C38" s="363"/>
      <c r="D38" s="104"/>
      <c r="E38" s="364" t="s">
        <v>51</v>
      </c>
      <c r="F38" s="365"/>
      <c r="G38" s="179" t="e">
        <f>G36+G37</f>
        <v>#N/A</v>
      </c>
    </row>
    <row r="39" spans="1:13" s="97" customFormat="1" ht="15.75" hidden="1" customHeight="1" outlineLevel="2" x14ac:dyDescent="0.25">
      <c r="A39" s="165">
        <v>93115</v>
      </c>
      <c r="B39" s="166">
        <f>G36/A39</f>
        <v>4.8327337163722277E-3</v>
      </c>
      <c r="C39" s="165">
        <f>A39+G36</f>
        <v>93565</v>
      </c>
      <c r="D39" s="104"/>
      <c r="E39" s="366" t="s">
        <v>58</v>
      </c>
      <c r="F39" s="367" t="e">
        <f>E36*H36</f>
        <v>#N/A</v>
      </c>
      <c r="G39" s="472">
        <f>B39</f>
        <v>4.8327337163722277E-3</v>
      </c>
    </row>
    <row r="40" spans="1:13" s="97" customFormat="1" ht="15.75" hidden="1" customHeight="1" outlineLevel="2" x14ac:dyDescent="0.25">
      <c r="A40" s="181"/>
      <c r="B40" s="181"/>
      <c r="C40" s="181"/>
      <c r="D40" s="181"/>
      <c r="E40" s="366"/>
      <c r="F40" s="367"/>
      <c r="G40" s="472"/>
      <c r="M40" s="167"/>
    </row>
    <row r="41" spans="1:13" s="97" customFormat="1" ht="15.75" hidden="1" customHeight="1" outlineLevel="2" x14ac:dyDescent="0.25">
      <c r="A41" s="181"/>
      <c r="B41" s="181"/>
      <c r="C41" s="181"/>
      <c r="D41" s="233"/>
      <c r="E41" s="181"/>
      <c r="F41" s="181"/>
      <c r="G41" s="181"/>
      <c r="M41" s="167"/>
    </row>
    <row r="42" spans="1:13" s="97" customFormat="1" ht="15.75" hidden="1" customHeight="1" outlineLevel="2" x14ac:dyDescent="0.25">
      <c r="A42" s="100" t="s">
        <v>139</v>
      </c>
      <c r="B42" s="102" t="str">
        <f xml:space="preserve"> CONCATENATE(A44, " - ",A45)</f>
        <v>Venda - CALL</v>
      </c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5"/>
    </row>
    <row r="43" spans="1:13" s="97" customFormat="1" ht="15.75" hidden="1" customHeight="1" outlineLevel="2" x14ac:dyDescent="0.25">
      <c r="A43" s="102" t="s">
        <v>88</v>
      </c>
      <c r="B43" s="102" t="s">
        <v>112</v>
      </c>
      <c r="C43" s="102" t="s">
        <v>86</v>
      </c>
      <c r="D43" s="102" t="s">
        <v>40</v>
      </c>
      <c r="E43" s="102" t="s">
        <v>41</v>
      </c>
      <c r="F43" s="102" t="s">
        <v>42</v>
      </c>
      <c r="G43" s="102" t="s">
        <v>43</v>
      </c>
      <c r="H43" s="102" t="s">
        <v>34</v>
      </c>
      <c r="I43" s="103" t="s">
        <v>46</v>
      </c>
      <c r="J43" s="103" t="s">
        <v>135</v>
      </c>
      <c r="K43" s="103" t="s">
        <v>47</v>
      </c>
      <c r="L43" s="103" t="s">
        <v>48</v>
      </c>
      <c r="M43" s="103" t="s">
        <v>58</v>
      </c>
    </row>
    <row r="44" spans="1:13" s="97" customFormat="1" ht="15.75" hidden="1" customHeight="1" outlineLevel="2" x14ac:dyDescent="0.25">
      <c r="A44" s="176" t="s">
        <v>49</v>
      </c>
      <c r="B44" s="189" t="s">
        <v>113</v>
      </c>
      <c r="C44" s="179">
        <v>37.159999999999997</v>
      </c>
      <c r="D44" s="179">
        <v>0.27</v>
      </c>
      <c r="E44" s="368" t="e">
        <f>RTD("tryd.rtdserver",,"COT",A42,"Exerc")</f>
        <v>#N/A</v>
      </c>
      <c r="F44" s="180" t="e">
        <f>ABS(C44-E44)/C44</f>
        <v>#N/A</v>
      </c>
      <c r="G44" s="179">
        <f>H44*D44</f>
        <v>756</v>
      </c>
      <c r="H44" s="370">
        <v>2800</v>
      </c>
      <c r="I44" s="372" t="e">
        <f>G46/G44</f>
        <v>#N/A</v>
      </c>
      <c r="J44" s="374">
        <v>45685</v>
      </c>
      <c r="K44" s="375" t="e">
        <f>RTD("tryd.rtdserver",,"COT",A42,"DiasExpir")</f>
        <v>#N/A</v>
      </c>
      <c r="L44" s="375" t="e">
        <f>RTD("tryd.rtdserver",,"COT",A42,"DiaUtExp")</f>
        <v>#N/A</v>
      </c>
      <c r="M44" s="361" t="e">
        <f>IF(A45="CALL",(IF(C45&gt;=E44,"SIM","NÃO")),IF(A45="PUT",(IF(C45&lt;E44,"SIM","NÃO")),"FECHADO"))</f>
        <v>#N/A</v>
      </c>
    </row>
    <row r="45" spans="1:13" s="97" customFormat="1" ht="15.75" hidden="1" customHeight="1" outlineLevel="2" x14ac:dyDescent="0.25">
      <c r="A45" s="231" t="str">
        <f>IF(AND(MID(A42,5,1)&gt;="M",MID(A42,5,1)&lt;="X"),"PUT","CALL")</f>
        <v>CALL</v>
      </c>
      <c r="B45" s="189" t="s">
        <v>114</v>
      </c>
      <c r="C45" s="179" t="e">
        <f>RTD("tryd.rtdserver",,"COT","PETR4","Ult")</f>
        <v>#N/A</v>
      </c>
      <c r="D45" s="179" t="e">
        <f>RTD("tryd.rtdserver",,"COT",$A42,"Ult")</f>
        <v>#N/A</v>
      </c>
      <c r="E45" s="369"/>
      <c r="F45" s="180" t="e">
        <f>ABS(C45-E44)/C45</f>
        <v>#N/A</v>
      </c>
      <c r="G45" s="179" t="e">
        <f>D45*H44*-1</f>
        <v>#N/A</v>
      </c>
      <c r="H45" s="371"/>
      <c r="I45" s="373"/>
      <c r="J45" s="371"/>
      <c r="K45" s="375"/>
      <c r="L45" s="375"/>
      <c r="M45" s="361"/>
    </row>
    <row r="46" spans="1:13" s="97" customFormat="1" ht="15.75" hidden="1" customHeight="1" outlineLevel="2" x14ac:dyDescent="0.25">
      <c r="A46" s="176" t="s">
        <v>53</v>
      </c>
      <c r="B46" s="362" t="s">
        <v>54</v>
      </c>
      <c r="C46" s="363"/>
      <c r="D46" s="104"/>
      <c r="E46" s="364" t="s">
        <v>51</v>
      </c>
      <c r="F46" s="365"/>
      <c r="G46" s="179" t="e">
        <f>G44+G45</f>
        <v>#N/A</v>
      </c>
    </row>
    <row r="47" spans="1:13" s="97" customFormat="1" ht="15.75" hidden="1" customHeight="1" outlineLevel="2" x14ac:dyDescent="0.25">
      <c r="A47" s="165">
        <v>104152</v>
      </c>
      <c r="B47" s="166">
        <f>G44/A47</f>
        <v>7.2586220139795685E-3</v>
      </c>
      <c r="C47" s="165">
        <f>A47+G44</f>
        <v>104908</v>
      </c>
      <c r="D47" s="104"/>
      <c r="E47" s="366" t="s">
        <v>58</v>
      </c>
      <c r="F47" s="367" t="e">
        <f>E44*H44</f>
        <v>#N/A</v>
      </c>
      <c r="G47" s="472">
        <f>B47</f>
        <v>7.2586220139795685E-3</v>
      </c>
      <c r="I47" s="379" t="s">
        <v>140</v>
      </c>
      <c r="J47" s="380"/>
    </row>
    <row r="48" spans="1:13" s="97" customFormat="1" ht="15.75" hidden="1" customHeight="1" outlineLevel="2" x14ac:dyDescent="0.25">
      <c r="A48" s="181"/>
      <c r="B48" s="181"/>
      <c r="C48" s="181"/>
      <c r="D48" s="181"/>
      <c r="E48" s="366"/>
      <c r="F48" s="367"/>
      <c r="G48" s="472"/>
      <c r="I48" s="372">
        <f>$B$31+$B$39+$B$47</f>
        <v>1.8075524882866505E-2</v>
      </c>
      <c r="J48" s="474">
        <f>G28+G36+G44</f>
        <v>1272</v>
      </c>
      <c r="M48" s="167"/>
    </row>
    <row r="49" spans="1:13" s="97" customFormat="1" ht="15.75" hidden="1" customHeight="1" outlineLevel="2" x14ac:dyDescent="0.25">
      <c r="A49" s="181"/>
      <c r="B49" s="181"/>
      <c r="C49" s="181"/>
      <c r="D49" s="181"/>
      <c r="E49" s="181"/>
      <c r="F49" s="181"/>
      <c r="G49" s="181"/>
      <c r="I49" s="373"/>
      <c r="J49" s="475"/>
      <c r="M49" s="167"/>
    </row>
    <row r="50" spans="1:13" s="97" customFormat="1" ht="15.75" customHeight="1" outlineLevel="1" collapsed="1" x14ac:dyDescent="0.25">
      <c r="A50" s="181"/>
      <c r="B50" s="181"/>
      <c r="C50" s="181"/>
      <c r="D50" s="233"/>
      <c r="E50" s="181"/>
      <c r="F50" s="181"/>
      <c r="G50" s="181"/>
      <c r="M50" s="167"/>
    </row>
    <row r="51" spans="1:13" s="97" customFormat="1" ht="15.75" customHeight="1" outlineLevel="1" x14ac:dyDescent="0.25">
      <c r="A51" s="100" t="s">
        <v>141</v>
      </c>
      <c r="B51" s="102" t="str">
        <f xml:space="preserve"> CONCATENATE(A53, " - ",A54)</f>
        <v>Venda - PUT</v>
      </c>
      <c r="C51" s="234"/>
      <c r="D51" s="234"/>
      <c r="E51" s="234"/>
      <c r="F51" s="234"/>
      <c r="G51" s="234"/>
      <c r="H51" s="234"/>
      <c r="I51" s="234"/>
      <c r="J51" s="234"/>
      <c r="K51" s="234"/>
      <c r="L51" s="234"/>
      <c r="M51" s="235"/>
    </row>
    <row r="52" spans="1:13" s="97" customFormat="1" ht="15.75" customHeight="1" outlineLevel="1" x14ac:dyDescent="0.25">
      <c r="A52" s="102" t="s">
        <v>88</v>
      </c>
      <c r="B52" s="102" t="s">
        <v>112</v>
      </c>
      <c r="C52" s="102" t="s">
        <v>86</v>
      </c>
      <c r="D52" s="102" t="s">
        <v>40</v>
      </c>
      <c r="E52" s="102" t="s">
        <v>41</v>
      </c>
      <c r="F52" s="102" t="s">
        <v>42</v>
      </c>
      <c r="G52" s="102" t="s">
        <v>43</v>
      </c>
      <c r="H52" s="102" t="s">
        <v>34</v>
      </c>
      <c r="I52" s="103" t="s">
        <v>46</v>
      </c>
      <c r="J52" s="103" t="s">
        <v>135</v>
      </c>
      <c r="K52" s="103" t="s">
        <v>47</v>
      </c>
      <c r="L52" s="103" t="s">
        <v>48</v>
      </c>
      <c r="M52" s="103" t="s">
        <v>58</v>
      </c>
    </row>
    <row r="53" spans="1:13" s="97" customFormat="1" ht="15.75" customHeight="1" outlineLevel="1" x14ac:dyDescent="0.25">
      <c r="A53" s="176" t="s">
        <v>49</v>
      </c>
      <c r="B53" s="189" t="s">
        <v>113</v>
      </c>
      <c r="C53" s="179">
        <v>36.96</v>
      </c>
      <c r="D53" s="179">
        <v>0.21</v>
      </c>
      <c r="E53" s="368">
        <v>36.770000000000003</v>
      </c>
      <c r="F53" s="180">
        <f>ABS(C53-E53)/C53</f>
        <v>5.1406926406925794E-3</v>
      </c>
      <c r="G53" s="179">
        <f>H53*D53</f>
        <v>546</v>
      </c>
      <c r="H53" s="370">
        <v>2600</v>
      </c>
      <c r="I53" s="372" t="e">
        <f>G55/G53</f>
        <v>#N/A</v>
      </c>
      <c r="J53" s="374">
        <v>45695</v>
      </c>
      <c r="K53" s="375" t="e">
        <f>RTD("tryd.rtdserver",,"COT",A51,"DiasExpir")</f>
        <v>#N/A</v>
      </c>
      <c r="L53" s="375" t="e">
        <f>RTD("tryd.rtdserver",,"COT",A51,"DiaUtExp")</f>
        <v>#N/A</v>
      </c>
      <c r="M53" s="361" t="s">
        <v>142</v>
      </c>
    </row>
    <row r="54" spans="1:13" s="97" customFormat="1" ht="15.75" customHeight="1" outlineLevel="1" x14ac:dyDescent="0.25">
      <c r="A54" s="231" t="str">
        <f>IF(AND(MID(A51,5,1)&gt;="M",MID(A51,5,1)&lt;="X"),"PUT","CALL")</f>
        <v>PUT</v>
      </c>
      <c r="B54" s="189" t="s">
        <v>114</v>
      </c>
      <c r="C54" s="179" t="e">
        <f>RTD("tryd.rtdserver",,"COT","PETR4","Ult")</f>
        <v>#N/A</v>
      </c>
      <c r="D54" s="179" t="e">
        <f>RTD("tryd.rtdserver",,"COT",$A51,"Ult")</f>
        <v>#N/A</v>
      </c>
      <c r="E54" s="369"/>
      <c r="F54" s="180" t="e">
        <f>ABS(C54-E53)/C54</f>
        <v>#N/A</v>
      </c>
      <c r="G54" s="179" t="e">
        <f>D54*H53*-1</f>
        <v>#N/A</v>
      </c>
      <c r="H54" s="371"/>
      <c r="I54" s="373"/>
      <c r="J54" s="371"/>
      <c r="K54" s="375"/>
      <c r="L54" s="375"/>
      <c r="M54" s="361"/>
    </row>
    <row r="55" spans="1:13" s="97" customFormat="1" ht="15.75" customHeight="1" outlineLevel="1" x14ac:dyDescent="0.25">
      <c r="A55" s="176" t="s">
        <v>53</v>
      </c>
      <c r="B55" s="362" t="s">
        <v>54</v>
      </c>
      <c r="C55" s="363"/>
      <c r="D55" s="104"/>
      <c r="E55" s="364" t="s">
        <v>51</v>
      </c>
      <c r="F55" s="365"/>
      <c r="G55" s="179" t="e">
        <f>G53+G54</f>
        <v>#N/A</v>
      </c>
    </row>
    <row r="56" spans="1:13" s="97" customFormat="1" ht="15.75" customHeight="1" outlineLevel="1" x14ac:dyDescent="0.25">
      <c r="A56" s="165">
        <v>104152</v>
      </c>
      <c r="B56" s="166">
        <f>G53/A56</f>
        <v>5.242338121207466E-3</v>
      </c>
      <c r="C56" s="165">
        <f>A56+G53</f>
        <v>104698</v>
      </c>
      <c r="D56" s="104"/>
      <c r="E56" s="476" t="s">
        <v>109</v>
      </c>
      <c r="F56" s="367">
        <f>E53*H53</f>
        <v>95602.000000000015</v>
      </c>
      <c r="G56" s="472">
        <f>B56</f>
        <v>5.242338121207466E-3</v>
      </c>
      <c r="I56" s="379" t="s">
        <v>140</v>
      </c>
      <c r="J56" s="380"/>
    </row>
    <row r="57" spans="1:13" s="97" customFormat="1" ht="15.75" customHeight="1" outlineLevel="1" x14ac:dyDescent="0.25">
      <c r="A57" s="181"/>
      <c r="B57" s="181"/>
      <c r="C57" s="181"/>
      <c r="D57" s="181"/>
      <c r="E57" s="476"/>
      <c r="F57" s="367"/>
      <c r="G57" s="472"/>
      <c r="I57" s="372">
        <f>B56</f>
        <v>5.242338121207466E-3</v>
      </c>
      <c r="J57" s="474">
        <f>G53</f>
        <v>546</v>
      </c>
      <c r="M57" s="167"/>
    </row>
    <row r="58" spans="1:13" s="97" customFormat="1" ht="15.75" customHeight="1" outlineLevel="1" x14ac:dyDescent="0.25">
      <c r="A58" s="181"/>
      <c r="B58" s="181"/>
      <c r="C58" s="181"/>
      <c r="D58" s="233"/>
      <c r="E58" s="181"/>
      <c r="F58" s="181"/>
      <c r="G58" s="181"/>
      <c r="I58" s="373"/>
      <c r="J58" s="475"/>
      <c r="M58" s="167"/>
    </row>
    <row r="59" spans="1:13" s="97" customFormat="1" ht="15.75" customHeight="1" outlineLevel="1" x14ac:dyDescent="0.25">
      <c r="A59" s="181"/>
      <c r="B59" s="181"/>
      <c r="C59" s="181"/>
      <c r="D59" s="233"/>
      <c r="E59" s="181"/>
      <c r="F59" s="181"/>
      <c r="G59" s="181"/>
      <c r="M59" s="167"/>
    </row>
    <row r="60" spans="1:13" s="97" customFormat="1" ht="15.75" customHeight="1" outlineLevel="1" x14ac:dyDescent="0.25">
      <c r="A60" s="100" t="s">
        <v>143</v>
      </c>
      <c r="B60" s="102" t="str">
        <f>IF(A60&lt;&gt;"",CONCATENATE(A62, " - ",A63),"")</f>
        <v>Venda - PUT</v>
      </c>
      <c r="C60" s="234"/>
      <c r="D60" s="234"/>
      <c r="E60" s="237"/>
      <c r="F60" s="236"/>
      <c r="G60" s="234"/>
      <c r="H60" s="234"/>
      <c r="I60" s="234"/>
      <c r="J60" s="234"/>
      <c r="K60" s="234"/>
      <c r="L60" s="234"/>
      <c r="M60" s="235"/>
    </row>
    <row r="61" spans="1:13" s="97" customFormat="1" ht="15.75" customHeight="1" outlineLevel="1" x14ac:dyDescent="0.25">
      <c r="A61" s="102" t="s">
        <v>88</v>
      </c>
      <c r="B61" s="102" t="s">
        <v>112</v>
      </c>
      <c r="C61" s="102" t="s">
        <v>86</v>
      </c>
      <c r="D61" s="102" t="s">
        <v>40</v>
      </c>
      <c r="E61" s="102" t="s">
        <v>41</v>
      </c>
      <c r="F61" s="102" t="s">
        <v>42</v>
      </c>
      <c r="G61" s="102" t="s">
        <v>43</v>
      </c>
      <c r="H61" s="102" t="s">
        <v>34</v>
      </c>
      <c r="I61" s="103" t="s">
        <v>46</v>
      </c>
      <c r="J61" s="103" t="s">
        <v>135</v>
      </c>
      <c r="K61" s="103" t="s">
        <v>47</v>
      </c>
      <c r="L61" s="103" t="s">
        <v>48</v>
      </c>
      <c r="M61" s="103" t="s">
        <v>58</v>
      </c>
    </row>
    <row r="62" spans="1:13" s="97" customFormat="1" ht="15.75" customHeight="1" outlineLevel="1" x14ac:dyDescent="0.25">
      <c r="A62" s="176" t="s">
        <v>49</v>
      </c>
      <c r="B62" s="189" t="s">
        <v>113</v>
      </c>
      <c r="C62" s="179">
        <v>36.86</v>
      </c>
      <c r="D62" s="179">
        <v>0.32</v>
      </c>
      <c r="E62" s="368">
        <v>36.770000000000003</v>
      </c>
      <c r="F62" s="180">
        <f>IF(A60&lt;&gt;"",ABS(C62-E62)/C62,0)</f>
        <v>2.4416711882798781E-3</v>
      </c>
      <c r="G62" s="179">
        <f>H62*D62</f>
        <v>832</v>
      </c>
      <c r="H62" s="370">
        <v>2600</v>
      </c>
      <c r="I62" s="372">
        <f>G64/G62</f>
        <v>6.25E-2</v>
      </c>
      <c r="J62" s="374">
        <v>45702</v>
      </c>
      <c r="K62" s="375" t="e">
        <f>IF(A60&lt;&gt;"",RTD("tryd.rtdserver",,"COT",A60,"DiasExpir"),"")</f>
        <v>#N/A</v>
      </c>
      <c r="L62" s="375" t="e">
        <f>IF(A60&lt;&gt;"",RTD("tryd.rtdserver",,"COT",A60,"DiaUtExp"),"")</f>
        <v>#N/A</v>
      </c>
      <c r="M62" s="361" t="s">
        <v>150</v>
      </c>
    </row>
    <row r="63" spans="1:13" s="97" customFormat="1" ht="15.75" customHeight="1" outlineLevel="1" x14ac:dyDescent="0.25">
      <c r="A63" s="231" t="str">
        <f>IF(AND(MID(A60,5,1)&gt;="M",MID(A60,5,1)&lt;="X"),"PUT","CALL")</f>
        <v>PUT</v>
      </c>
      <c r="B63" s="189" t="s">
        <v>114</v>
      </c>
      <c r="C63" s="179" t="e">
        <f>RTD("tryd.rtdserver",,"COT","PETR4","Ult")</f>
        <v>#N/A</v>
      </c>
      <c r="D63" s="179">
        <v>0.3</v>
      </c>
      <c r="E63" s="369"/>
      <c r="F63" s="180" t="e">
        <f>IF(A60&lt;&gt;"",ABS(C63-E62)/C63,0)</f>
        <v>#N/A</v>
      </c>
      <c r="G63" s="179">
        <f>D63*H62*-1</f>
        <v>-780</v>
      </c>
      <c r="H63" s="371"/>
      <c r="I63" s="373"/>
      <c r="J63" s="371"/>
      <c r="K63" s="375"/>
      <c r="L63" s="375"/>
      <c r="M63" s="361"/>
    </row>
    <row r="64" spans="1:13" s="97" customFormat="1" ht="15.75" customHeight="1" outlineLevel="1" x14ac:dyDescent="0.25">
      <c r="A64" s="176" t="s">
        <v>53</v>
      </c>
      <c r="B64" s="362" t="s">
        <v>54</v>
      </c>
      <c r="C64" s="363"/>
      <c r="D64" s="104"/>
      <c r="E64" s="364" t="s">
        <v>51</v>
      </c>
      <c r="F64" s="365"/>
      <c r="G64" s="179">
        <f>G62+G63</f>
        <v>52</v>
      </c>
    </row>
    <row r="65" spans="1:13" s="97" customFormat="1" ht="15.75" customHeight="1" outlineLevel="1" x14ac:dyDescent="0.25">
      <c r="A65" s="165">
        <v>104152</v>
      </c>
      <c r="B65" s="166">
        <f>G64/A65</f>
        <v>4.9927029725785387E-4</v>
      </c>
      <c r="C65" s="165">
        <f>A65+G62</f>
        <v>104984</v>
      </c>
      <c r="D65" s="104"/>
      <c r="E65" s="366" t="s">
        <v>58</v>
      </c>
      <c r="F65" s="367">
        <f>E62*H62</f>
        <v>95602.000000000015</v>
      </c>
      <c r="G65" s="472">
        <f>B65</f>
        <v>4.9927029725785387E-4</v>
      </c>
      <c r="I65" s="379" t="s">
        <v>140</v>
      </c>
      <c r="J65" s="380"/>
      <c r="K65" s="97" t="s">
        <v>29</v>
      </c>
    </row>
    <row r="66" spans="1:13" s="97" customFormat="1" ht="15.75" customHeight="1" outlineLevel="1" x14ac:dyDescent="0.25">
      <c r="A66" s="181"/>
      <c r="B66" s="181"/>
      <c r="C66" s="181"/>
      <c r="D66" s="181"/>
      <c r="E66" s="366"/>
      <c r="F66" s="367"/>
      <c r="G66" s="472"/>
      <c r="H66" s="108"/>
      <c r="I66" s="472">
        <f>I57+B65</f>
        <v>5.7416084184653202E-3</v>
      </c>
      <c r="J66" s="473">
        <f>J57+G64</f>
        <v>598</v>
      </c>
      <c r="M66" s="167"/>
    </row>
    <row r="67" spans="1:13" s="97" customFormat="1" ht="15.75" customHeight="1" outlineLevel="1" x14ac:dyDescent="0.25">
      <c r="A67" s="181"/>
      <c r="B67" s="181"/>
      <c r="C67" s="181"/>
      <c r="D67" s="181"/>
      <c r="E67" s="181"/>
      <c r="F67" s="181"/>
      <c r="G67" s="239"/>
      <c r="H67" s="108"/>
      <c r="I67" s="472"/>
      <c r="J67" s="473"/>
      <c r="M67" s="167"/>
    </row>
    <row r="68" spans="1:13" s="97" customFormat="1" ht="15.75" customHeight="1" outlineLevel="1" x14ac:dyDescent="0.25">
      <c r="A68" s="181"/>
      <c r="B68" s="181"/>
      <c r="C68" s="181"/>
      <c r="D68" s="181"/>
      <c r="E68" s="181"/>
      <c r="F68" s="181"/>
      <c r="G68" s="239"/>
      <c r="H68" s="108"/>
      <c r="I68" s="240"/>
      <c r="J68" s="241"/>
      <c r="M68" s="167"/>
    </row>
    <row r="69" spans="1:13" s="97" customFormat="1" ht="15.75" customHeight="1" outlineLevel="1" x14ac:dyDescent="0.25">
      <c r="A69" s="100" t="s">
        <v>146</v>
      </c>
      <c r="B69" s="102" t="str">
        <f>IF(A69&lt;&gt;"",CONCATENATE(A71, " - ",A72),"")</f>
        <v>Venda - CALL</v>
      </c>
      <c r="C69" s="234"/>
      <c r="D69" s="234"/>
      <c r="E69" s="237" t="s">
        <v>144</v>
      </c>
      <c r="F69" s="236" t="e">
        <f>IF(A69&lt;&gt;"",((E71-C72)/E71)*100,0)</f>
        <v>#N/A</v>
      </c>
      <c r="G69" s="234"/>
      <c r="H69" s="234"/>
      <c r="I69" s="234"/>
      <c r="J69" s="234"/>
      <c r="K69" s="234"/>
      <c r="L69" s="234"/>
      <c r="M69" s="235"/>
    </row>
    <row r="70" spans="1:13" s="97" customFormat="1" ht="15.75" customHeight="1" outlineLevel="1" x14ac:dyDescent="0.25">
      <c r="A70" s="102" t="s">
        <v>88</v>
      </c>
      <c r="B70" s="102" t="s">
        <v>112</v>
      </c>
      <c r="C70" s="102" t="s">
        <v>86</v>
      </c>
      <c r="D70" s="102" t="s">
        <v>40</v>
      </c>
      <c r="E70" s="102" t="s">
        <v>41</v>
      </c>
      <c r="F70" s="102" t="s">
        <v>42</v>
      </c>
      <c r="G70" s="102" t="s">
        <v>43</v>
      </c>
      <c r="H70" s="102" t="s">
        <v>34</v>
      </c>
      <c r="I70" s="103" t="s">
        <v>46</v>
      </c>
      <c r="J70" s="103" t="s">
        <v>135</v>
      </c>
      <c r="K70" s="103" t="s">
        <v>47</v>
      </c>
      <c r="L70" s="103" t="s">
        <v>48</v>
      </c>
      <c r="M70" s="103" t="s">
        <v>58</v>
      </c>
    </row>
    <row r="71" spans="1:13" s="97" customFormat="1" ht="15.75" customHeight="1" outlineLevel="1" x14ac:dyDescent="0.25">
      <c r="A71" s="176" t="s">
        <v>49</v>
      </c>
      <c r="B71" s="189" t="s">
        <v>113</v>
      </c>
      <c r="C71" s="179">
        <v>36.86</v>
      </c>
      <c r="D71" s="179">
        <v>0.44</v>
      </c>
      <c r="E71" s="368">
        <v>36.770000000000003</v>
      </c>
      <c r="F71" s="180">
        <f>IF(A69&lt;&gt;"",ABS(C71-E71)/C71,0)</f>
        <v>2.4416711882798781E-3</v>
      </c>
      <c r="G71" s="179">
        <f>H71*D71</f>
        <v>1144</v>
      </c>
      <c r="H71" s="370">
        <v>2600</v>
      </c>
      <c r="I71" s="372" t="e">
        <f>IF(A69&lt;&gt;"",G73/G71,0)</f>
        <v>#N/A</v>
      </c>
      <c r="J71" s="374">
        <v>45702</v>
      </c>
      <c r="K71" s="375" t="e">
        <f>IF(A69&lt;&gt;"",RTD("tryd.rtdserver",,"COT",A69,"DiasExpir"),"")</f>
        <v>#N/A</v>
      </c>
      <c r="L71" s="375" t="e">
        <f>IF(A69&lt;&gt;"",RTD("tryd.rtdserver",,"COT",A69,"DiaUtExp"),"")</f>
        <v>#N/A</v>
      </c>
      <c r="M71" s="361" t="s">
        <v>142</v>
      </c>
    </row>
    <row r="72" spans="1:13" s="97" customFormat="1" ht="15.75" customHeight="1" outlineLevel="1" x14ac:dyDescent="0.25">
      <c r="A72" s="231" t="str">
        <f>IF(AND(MID(A69,5,1)&gt;="M",MID(A69,5,1)&lt;="X"),"PUT","CALL")</f>
        <v>CALL</v>
      </c>
      <c r="B72" s="189" t="s">
        <v>114</v>
      </c>
      <c r="C72" s="179" t="e">
        <f>RTD("tryd.rtdserver",,"COT","PETR4","Ult")</f>
        <v>#N/A</v>
      </c>
      <c r="D72" s="179" t="e">
        <f>IF(A69&lt;&gt;"",RTD("tryd.rtdserver",,"COT",$A69,"Ult"),0)</f>
        <v>#N/A</v>
      </c>
      <c r="E72" s="369"/>
      <c r="F72" s="180" t="e">
        <f>IF(A69&lt;&gt;"",ABS(C72-E71)/C72,0)</f>
        <v>#N/A</v>
      </c>
      <c r="G72" s="179" t="e">
        <f>D72*H71*-1</f>
        <v>#N/A</v>
      </c>
      <c r="H72" s="371"/>
      <c r="I72" s="373"/>
      <c r="J72" s="371"/>
      <c r="K72" s="375"/>
      <c r="L72" s="375"/>
      <c r="M72" s="361"/>
    </row>
    <row r="73" spans="1:13" s="97" customFormat="1" ht="15.75" customHeight="1" outlineLevel="1" x14ac:dyDescent="0.25">
      <c r="A73" s="176" t="s">
        <v>53</v>
      </c>
      <c r="B73" s="362" t="s">
        <v>54</v>
      </c>
      <c r="C73" s="363"/>
      <c r="D73" s="104"/>
      <c r="E73" s="364" t="s">
        <v>51</v>
      </c>
      <c r="F73" s="365"/>
      <c r="G73" s="179" t="e">
        <f>G71+G72</f>
        <v>#N/A</v>
      </c>
    </row>
    <row r="74" spans="1:13" s="97" customFormat="1" ht="15.75" customHeight="1" outlineLevel="1" x14ac:dyDescent="0.25">
      <c r="A74" s="165">
        <v>104152</v>
      </c>
      <c r="B74" s="166">
        <f>G71/A74</f>
        <v>1.0983946539672785E-2</v>
      </c>
      <c r="C74" s="165">
        <f>A74+G71</f>
        <v>105296</v>
      </c>
      <c r="D74" s="104"/>
      <c r="E74" s="476" t="s">
        <v>109</v>
      </c>
      <c r="F74" s="367">
        <f>E71*H71</f>
        <v>95602.000000000015</v>
      </c>
      <c r="G74" s="472">
        <f>B74</f>
        <v>1.0983946539672785E-2</v>
      </c>
      <c r="I74" s="379" t="s">
        <v>140</v>
      </c>
      <c r="J74" s="380"/>
    </row>
    <row r="75" spans="1:13" s="97" customFormat="1" ht="15.75" customHeight="1" outlineLevel="1" x14ac:dyDescent="0.25">
      <c r="A75" s="181"/>
      <c r="B75" s="181"/>
      <c r="C75" s="181"/>
      <c r="D75" s="181"/>
      <c r="E75" s="476"/>
      <c r="F75" s="367"/>
      <c r="G75" s="472"/>
      <c r="H75" s="108"/>
      <c r="I75" s="472">
        <f>I66+B74</f>
        <v>1.6725554958138107E-2</v>
      </c>
      <c r="J75" s="473">
        <f>J66+G71</f>
        <v>1742</v>
      </c>
      <c r="M75" s="167"/>
    </row>
    <row r="76" spans="1:13" s="97" customFormat="1" ht="15.75" customHeight="1" outlineLevel="1" x14ac:dyDescent="0.25">
      <c r="A76" s="181"/>
      <c r="B76" s="181"/>
      <c r="C76" s="181"/>
      <c r="D76" s="181"/>
      <c r="E76" s="233"/>
      <c r="F76" s="181"/>
      <c r="G76" s="239"/>
      <c r="H76" s="108"/>
      <c r="I76" s="472"/>
      <c r="J76" s="473"/>
      <c r="M76" s="167"/>
    </row>
    <row r="77" spans="1:13" s="97" customFormat="1" ht="15.75" customHeight="1" outlineLevel="1" x14ac:dyDescent="0.25">
      <c r="A77" s="247"/>
      <c r="B77" s="181"/>
      <c r="C77" s="181"/>
      <c r="D77" s="181"/>
      <c r="E77" s="181"/>
      <c r="F77" s="233" t="e">
        <f>F78+100%</f>
        <v>#N/A</v>
      </c>
      <c r="G77" s="239"/>
      <c r="H77" s="108"/>
      <c r="I77" s="239"/>
      <c r="J77" s="242"/>
      <c r="M77" s="167"/>
    </row>
    <row r="78" spans="1:13" s="97" customFormat="1" ht="15.75" customHeight="1" outlineLevel="1" x14ac:dyDescent="0.25">
      <c r="A78" s="100" t="s">
        <v>149</v>
      </c>
      <c r="B78" s="102" t="str">
        <f>IF(A78&lt;&gt;"",CONCATENATE(A80, " - ",A81),"")</f>
        <v>Venda - PUT</v>
      </c>
      <c r="C78" s="234"/>
      <c r="D78" s="234"/>
      <c r="E78" s="237" t="s">
        <v>144</v>
      </c>
      <c r="F78" s="236" t="e">
        <f>IF(A78&lt;&gt;"",((E80-C81)/E80)*100,0)</f>
        <v>#N/A</v>
      </c>
      <c r="G78" s="234"/>
      <c r="H78" s="234"/>
      <c r="I78" s="234"/>
      <c r="J78" s="234"/>
      <c r="K78" s="234"/>
      <c r="L78" s="234"/>
      <c r="M78" s="235"/>
    </row>
    <row r="79" spans="1:13" s="97" customFormat="1" ht="15.75" customHeight="1" outlineLevel="1" x14ac:dyDescent="0.25">
      <c r="A79" s="102" t="s">
        <v>88</v>
      </c>
      <c r="B79" s="102" t="s">
        <v>112</v>
      </c>
      <c r="C79" s="102" t="s">
        <v>86</v>
      </c>
      <c r="D79" s="102" t="s">
        <v>40</v>
      </c>
      <c r="E79" s="102" t="s">
        <v>41</v>
      </c>
      <c r="F79" s="102" t="s">
        <v>42</v>
      </c>
      <c r="G79" s="102" t="s">
        <v>43</v>
      </c>
      <c r="H79" s="102" t="s">
        <v>34</v>
      </c>
      <c r="I79" s="103" t="s">
        <v>46</v>
      </c>
      <c r="J79" s="103" t="s">
        <v>135</v>
      </c>
      <c r="K79" s="103" t="s">
        <v>47</v>
      </c>
      <c r="L79" s="103" t="s">
        <v>48</v>
      </c>
      <c r="M79" s="103" t="s">
        <v>58</v>
      </c>
    </row>
    <row r="80" spans="1:13" s="97" customFormat="1" ht="15.75" customHeight="1" outlineLevel="1" x14ac:dyDescent="0.25">
      <c r="A80" s="176" t="s">
        <v>49</v>
      </c>
      <c r="B80" s="189" t="s">
        <v>113</v>
      </c>
      <c r="C80" s="179">
        <v>38.799999999999997</v>
      </c>
      <c r="D80" s="179">
        <v>0.39</v>
      </c>
      <c r="E80" s="368">
        <v>37.92</v>
      </c>
      <c r="F80" s="180">
        <f>IF(A78&lt;&gt;"",ABS(C80-E80)/C80,0)</f>
        <v>2.2680412371133905E-2</v>
      </c>
      <c r="G80" s="179">
        <f>H80*D80</f>
        <v>1014</v>
      </c>
      <c r="H80" s="370">
        <v>2600</v>
      </c>
      <c r="I80" s="372" t="e">
        <f>IF(A78&lt;&gt;"",G82/G80,0)</f>
        <v>#N/A</v>
      </c>
      <c r="J80" s="374">
        <v>45709</v>
      </c>
      <c r="K80" s="375" t="e">
        <f>IF(A78&lt;&gt;"",RTD("tryd.rtdserver",,"COT",A78,"DiasExpir"),"")</f>
        <v>#N/A</v>
      </c>
      <c r="L80" s="375" t="e">
        <f>IF(A78&lt;&gt;"",RTD("tryd.rtdserver",,"COT",A78,"DiaUtExp"),"")</f>
        <v>#N/A</v>
      </c>
      <c r="M80" s="361" t="e">
        <f>IF(A78&lt;&gt;"",IF(A81="CALL",(IF(C81&gt;=E80,"SIM","NÃO")),IF(A81="PUT",(IF(C81&lt;E80,"SIM","NÃO")),"FECHADO")),"")</f>
        <v>#N/A</v>
      </c>
    </row>
    <row r="81" spans="1:13" s="97" customFormat="1" ht="15.75" customHeight="1" outlineLevel="1" x14ac:dyDescent="0.25">
      <c r="A81" s="231" t="str">
        <f>IF(AND(MID(A78,5,1)&gt;="M",MID(A78,5,1)&lt;="X"),"PUT","CALL")</f>
        <v>PUT</v>
      </c>
      <c r="B81" s="189" t="s">
        <v>114</v>
      </c>
      <c r="C81" s="179" t="e">
        <f>RTD("tryd.rtdserver",,"COT","PETR4","Ult")</f>
        <v>#N/A</v>
      </c>
      <c r="D81" s="179" t="e">
        <f>IF(A78&lt;&gt;"",RTD("tryd.rtdserver",,"COT",$A78,"Ult"),0)</f>
        <v>#N/A</v>
      </c>
      <c r="E81" s="369"/>
      <c r="F81" s="180" t="e">
        <f>IF(A78&lt;&gt;"",ABS(C81-E80)/C81,0)</f>
        <v>#N/A</v>
      </c>
      <c r="G81" s="179" t="e">
        <f>D81*H80*-1</f>
        <v>#N/A</v>
      </c>
      <c r="H81" s="371"/>
      <c r="I81" s="373"/>
      <c r="J81" s="371"/>
      <c r="K81" s="375"/>
      <c r="L81" s="375"/>
      <c r="M81" s="361"/>
    </row>
    <row r="82" spans="1:13" s="97" customFormat="1" ht="15.75" customHeight="1" outlineLevel="1" x14ac:dyDescent="0.25">
      <c r="A82" s="176" t="s">
        <v>53</v>
      </c>
      <c r="B82" s="362" t="s">
        <v>54</v>
      </c>
      <c r="C82" s="363"/>
      <c r="D82" s="104"/>
      <c r="E82" s="364" t="s">
        <v>51</v>
      </c>
      <c r="F82" s="365"/>
      <c r="G82" s="179" t="e">
        <f>G80+G81</f>
        <v>#N/A</v>
      </c>
    </row>
    <row r="83" spans="1:13" s="97" customFormat="1" ht="15.75" customHeight="1" outlineLevel="1" x14ac:dyDescent="0.25">
      <c r="A83" s="165">
        <v>107974.2</v>
      </c>
      <c r="B83" s="166">
        <f>G80/A83</f>
        <v>9.3911323260556685E-3</v>
      </c>
      <c r="C83" s="165">
        <f>A83+G80</f>
        <v>108988.2</v>
      </c>
      <c r="D83" s="104"/>
      <c r="E83" s="366" t="s">
        <v>58</v>
      </c>
      <c r="F83" s="367">
        <f>E80*H80</f>
        <v>98592</v>
      </c>
      <c r="G83" s="472">
        <f>B83</f>
        <v>9.3911323260556685E-3</v>
      </c>
      <c r="I83" s="379" t="s">
        <v>140</v>
      </c>
      <c r="J83" s="380"/>
    </row>
    <row r="84" spans="1:13" s="97" customFormat="1" ht="15.75" customHeight="1" outlineLevel="1" x14ac:dyDescent="0.25">
      <c r="A84" s="181"/>
      <c r="B84" s="181"/>
      <c r="C84" s="181"/>
      <c r="D84" s="181"/>
      <c r="E84" s="366"/>
      <c r="F84" s="367"/>
      <c r="G84" s="472"/>
      <c r="H84" s="108"/>
      <c r="I84" s="472">
        <f>I75+B83</f>
        <v>2.6116687284193776E-2</v>
      </c>
      <c r="J84" s="473">
        <f>J75+G80</f>
        <v>2756</v>
      </c>
      <c r="M84" s="167"/>
    </row>
    <row r="85" spans="1:13" s="97" customFormat="1" ht="15.75" customHeight="1" outlineLevel="1" x14ac:dyDescent="0.25">
      <c r="A85" s="181"/>
      <c r="B85" s="233"/>
      <c r="C85" s="181"/>
      <c r="D85" s="181"/>
      <c r="E85" s="181"/>
      <c r="F85" s="181"/>
      <c r="G85" s="239"/>
      <c r="H85" s="108"/>
      <c r="I85" s="472"/>
      <c r="J85" s="473"/>
      <c r="M85" s="167"/>
    </row>
    <row r="86" spans="1:13" s="97" customFormat="1" ht="15.75" customHeight="1" outlineLevel="1" x14ac:dyDescent="0.25">
      <c r="A86" s="181"/>
      <c r="B86" s="181"/>
      <c r="C86" s="243"/>
      <c r="D86" s="181"/>
      <c r="E86" s="181"/>
      <c r="F86" s="244"/>
      <c r="G86" s="244"/>
      <c r="M86" s="167"/>
    </row>
    <row r="87" spans="1:13" s="97" customFormat="1" ht="15.75" customHeight="1" outlineLevel="1" x14ac:dyDescent="0.25">
      <c r="A87" s="100" t="s">
        <v>148</v>
      </c>
      <c r="B87" s="102" t="str">
        <f>IF(A87&lt;&gt;"",CONCATENATE(A89, " - ",A90),"")</f>
        <v>Venda - CALL</v>
      </c>
      <c r="C87" s="234"/>
      <c r="D87" s="234"/>
      <c r="E87" s="237" t="s">
        <v>144</v>
      </c>
      <c r="F87" s="236">
        <f>IF(A87&lt;&gt;"",((E89-C90)/E89)*100,0)</f>
        <v>-5.900277008310236</v>
      </c>
      <c r="G87" s="234"/>
      <c r="H87" s="234"/>
      <c r="I87" s="234"/>
      <c r="J87" s="234"/>
      <c r="K87" s="234"/>
      <c r="L87" s="234"/>
      <c r="M87" s="235"/>
    </row>
    <row r="88" spans="1:13" s="97" customFormat="1" ht="15.75" customHeight="1" outlineLevel="1" x14ac:dyDescent="0.25">
      <c r="A88" s="102" t="s">
        <v>88</v>
      </c>
      <c r="B88" s="102" t="s">
        <v>112</v>
      </c>
      <c r="C88" s="102" t="s">
        <v>86</v>
      </c>
      <c r="D88" s="102" t="s">
        <v>40</v>
      </c>
      <c r="E88" s="102" t="s">
        <v>41</v>
      </c>
      <c r="F88" s="102" t="s">
        <v>42</v>
      </c>
      <c r="G88" s="102" t="s">
        <v>43</v>
      </c>
      <c r="H88" s="102" t="s">
        <v>34</v>
      </c>
      <c r="I88" s="103" t="s">
        <v>46</v>
      </c>
      <c r="J88" s="103" t="s">
        <v>135</v>
      </c>
      <c r="K88" s="103" t="s">
        <v>47</v>
      </c>
      <c r="L88" s="103" t="s">
        <v>48</v>
      </c>
      <c r="M88" s="103" t="s">
        <v>58</v>
      </c>
    </row>
    <row r="89" spans="1:13" s="97" customFormat="1" ht="15.75" customHeight="1" outlineLevel="1" x14ac:dyDescent="0.25">
      <c r="A89" s="176" t="s">
        <v>49</v>
      </c>
      <c r="B89" s="189" t="s">
        <v>113</v>
      </c>
      <c r="C89" s="179">
        <v>37.700000000000003</v>
      </c>
      <c r="D89" s="179">
        <v>0.56000000000000005</v>
      </c>
      <c r="E89" s="368">
        <v>36.1</v>
      </c>
      <c r="F89" s="180">
        <f>IF(A87&lt;&gt;"",ABS(C89-E89)/C89,0)</f>
        <v>4.24403183023873E-2</v>
      </c>
      <c r="G89" s="179">
        <f>H89*D89</f>
        <v>56.000000000000007</v>
      </c>
      <c r="H89" s="370">
        <v>100</v>
      </c>
      <c r="I89" s="372" t="e">
        <f>IF(A87&lt;&gt;"",G91/G89,0)</f>
        <v>#N/A</v>
      </c>
      <c r="J89" s="374">
        <v>45709</v>
      </c>
      <c r="K89" s="375" t="e">
        <f>IF(A87&lt;&gt;"",RTD("tryd.rtdserver",,"COT",A87,"DiasExpir"),"")</f>
        <v>#N/A</v>
      </c>
      <c r="L89" s="375" t="e">
        <f>IF(A87&lt;&gt;"",RTD("tryd.rtdserver",,"COT",A87,"DiaUtExp"),"")</f>
        <v>#N/A</v>
      </c>
      <c r="M89" s="361" t="str">
        <f>IF(A87&lt;&gt;"",IF(A90="CALL",(IF(C90&gt;=E89,"SIM","NÃO")),IF(A90="PUT",(IF(C90&lt;E89,"SIM","NÃO")),"FECHADO")),"")</f>
        <v>SIM</v>
      </c>
    </row>
    <row r="90" spans="1:13" s="97" customFormat="1" ht="15.75" customHeight="1" outlineLevel="1" x14ac:dyDescent="0.25">
      <c r="A90" s="231" t="str">
        <f>IF(AND(MID(A87,5,1)&gt;="M",MID(A87,5,1)&lt;="X"),"PUT","CALL")</f>
        <v>CALL</v>
      </c>
      <c r="B90" s="189" t="s">
        <v>114</v>
      </c>
      <c r="C90" s="179">
        <v>38.229999999999997</v>
      </c>
      <c r="D90" s="179" t="e">
        <f>IF(A87&lt;&gt;"",RTD("tryd.rtdserver",,"COT",$A87,"Ult"),0)</f>
        <v>#N/A</v>
      </c>
      <c r="E90" s="369"/>
      <c r="F90" s="180">
        <f>IF(A87&lt;&gt;"",ABS(C90-E89)/C90,0)</f>
        <v>5.5715406748626621E-2</v>
      </c>
      <c r="G90" s="179" t="e">
        <f>D90*H89*-1</f>
        <v>#N/A</v>
      </c>
      <c r="H90" s="371"/>
      <c r="I90" s="373"/>
      <c r="J90" s="371"/>
      <c r="K90" s="375"/>
      <c r="L90" s="375"/>
      <c r="M90" s="361"/>
    </row>
    <row r="91" spans="1:13" s="97" customFormat="1" ht="15.75" customHeight="1" outlineLevel="1" x14ac:dyDescent="0.25">
      <c r="A91" s="176" t="s">
        <v>53</v>
      </c>
      <c r="B91" s="362" t="s">
        <v>54</v>
      </c>
      <c r="C91" s="363"/>
      <c r="D91" s="104"/>
      <c r="E91" s="364" t="s">
        <v>51</v>
      </c>
      <c r="F91" s="365"/>
      <c r="G91" s="179" t="e">
        <f>G89+G90</f>
        <v>#N/A</v>
      </c>
    </row>
    <row r="92" spans="1:13" s="97" customFormat="1" ht="15.75" customHeight="1" outlineLevel="1" x14ac:dyDescent="0.25">
      <c r="A92" s="165">
        <v>107974.2</v>
      </c>
      <c r="B92" s="166">
        <f>G89/A92</f>
        <v>5.1864241642910998E-4</v>
      </c>
      <c r="C92" s="165">
        <f>A92+G89</f>
        <v>108030.2</v>
      </c>
      <c r="D92" s="104"/>
      <c r="E92" s="476" t="s">
        <v>109</v>
      </c>
      <c r="F92" s="367">
        <f>E89*H89</f>
        <v>3610</v>
      </c>
      <c r="G92" s="472">
        <f>B92</f>
        <v>5.1864241642910998E-4</v>
      </c>
      <c r="I92" s="379" t="s">
        <v>140</v>
      </c>
      <c r="J92" s="380"/>
    </row>
    <row r="93" spans="1:13" s="97" customFormat="1" ht="15.75" customHeight="1" outlineLevel="1" x14ac:dyDescent="0.25">
      <c r="A93" s="181"/>
      <c r="B93" s="181"/>
      <c r="C93" s="181"/>
      <c r="D93" s="181"/>
      <c r="E93" s="476"/>
      <c r="F93" s="367"/>
      <c r="G93" s="472"/>
      <c r="H93" s="108"/>
      <c r="I93" s="472">
        <f>I84+B92</f>
        <v>2.6635329700622885E-2</v>
      </c>
      <c r="J93" s="473">
        <f>J84+G89</f>
        <v>2812</v>
      </c>
      <c r="M93" s="167"/>
    </row>
    <row r="94" spans="1:13" s="97" customFormat="1" ht="15.75" customHeight="1" outlineLevel="1" x14ac:dyDescent="0.25">
      <c r="A94" s="181"/>
      <c r="B94" s="181"/>
      <c r="C94" s="233"/>
      <c r="D94" s="181"/>
      <c r="E94" s="181"/>
      <c r="F94" s="181"/>
      <c r="G94" s="239"/>
      <c r="H94" s="108"/>
      <c r="I94" s="472"/>
      <c r="J94" s="473"/>
      <c r="M94" s="167"/>
    </row>
    <row r="95" spans="1:13" s="97" customFormat="1" ht="15.75" customHeight="1" outlineLevel="1" x14ac:dyDescent="0.25">
      <c r="A95" s="247" t="s">
        <v>151</v>
      </c>
      <c r="B95" s="181"/>
      <c r="C95" s="243"/>
      <c r="D95" s="181"/>
      <c r="E95" s="181"/>
      <c r="F95" s="244"/>
      <c r="G95" s="244"/>
      <c r="I95" s="142"/>
      <c r="M95" s="167"/>
    </row>
    <row r="96" spans="1:13" s="97" customFormat="1" ht="15.75" customHeight="1" outlineLevel="1" x14ac:dyDescent="0.25">
      <c r="A96" s="100" t="s">
        <v>151</v>
      </c>
      <c r="B96" s="102" t="str">
        <f>IF(A96&lt;&gt;"",CONCATENATE(A98, " - ",A99),"")</f>
        <v>Venda - PUT</v>
      </c>
      <c r="C96" s="234"/>
      <c r="D96" s="234"/>
      <c r="E96" s="237" t="s">
        <v>144</v>
      </c>
      <c r="F96" s="236" t="e">
        <f>IF(A96&lt;&gt;"",((E98-C99)/E98)*100,0)</f>
        <v>#N/A</v>
      </c>
      <c r="G96" s="234"/>
      <c r="H96" s="234"/>
      <c r="I96" s="234"/>
      <c r="J96" s="234"/>
      <c r="K96" s="234"/>
      <c r="L96" s="234"/>
      <c r="M96" s="235"/>
    </row>
    <row r="97" spans="1:15" s="97" customFormat="1" ht="15.75" customHeight="1" outlineLevel="1" x14ac:dyDescent="0.25">
      <c r="A97" s="102" t="s">
        <v>88</v>
      </c>
      <c r="B97" s="102" t="s">
        <v>112</v>
      </c>
      <c r="C97" s="102" t="s">
        <v>86</v>
      </c>
      <c r="D97" s="102" t="s">
        <v>40</v>
      </c>
      <c r="E97" s="102" t="s">
        <v>41</v>
      </c>
      <c r="F97" s="102" t="s">
        <v>42</v>
      </c>
      <c r="G97" s="102" t="s">
        <v>43</v>
      </c>
      <c r="H97" s="102" t="s">
        <v>34</v>
      </c>
      <c r="I97" s="103" t="s">
        <v>46</v>
      </c>
      <c r="J97" s="103" t="s">
        <v>135</v>
      </c>
      <c r="K97" s="103" t="s">
        <v>47</v>
      </c>
      <c r="L97" s="103" t="s">
        <v>48</v>
      </c>
      <c r="M97" s="103" t="s">
        <v>58</v>
      </c>
    </row>
    <row r="98" spans="1:15" s="97" customFormat="1" ht="15.75" customHeight="1" outlineLevel="1" x14ac:dyDescent="0.25">
      <c r="A98" s="176" t="s">
        <v>49</v>
      </c>
      <c r="B98" s="189" t="s">
        <v>113</v>
      </c>
      <c r="C98" s="179">
        <v>38.32</v>
      </c>
      <c r="D98" s="179">
        <v>0.45</v>
      </c>
      <c r="E98" s="368">
        <v>38</v>
      </c>
      <c r="F98" s="180">
        <f>IF(A96&lt;&gt;"",ABS(C98-E98)/C98,0)</f>
        <v>8.3507306889352897E-3</v>
      </c>
      <c r="G98" s="179">
        <f>H98*D98</f>
        <v>1215</v>
      </c>
      <c r="H98" s="370">
        <v>2700</v>
      </c>
      <c r="I98" s="372" t="e">
        <f>IF(A96&lt;&gt;"",G100/G98,0)</f>
        <v>#N/A</v>
      </c>
      <c r="J98" s="374">
        <v>45716</v>
      </c>
      <c r="K98" s="375" t="e">
        <f>IF(A96&lt;&gt;"",RTD("tryd.rtdserver",,"COT",A96,"DiasExpir"),"")</f>
        <v>#N/A</v>
      </c>
      <c r="L98" s="375" t="e">
        <f>IF(A96&lt;&gt;"",RTD("tryd.rtdserver",,"COT",A96,"DiaUtExp"),"")</f>
        <v>#N/A</v>
      </c>
      <c r="M98" s="361" t="e">
        <f>IF(A96&lt;&gt;"",IF(A99="CALL",(IF(C99&gt;=E98,"SIM","NÃO")),IF(A99="PUT",(IF(C99&lt;E98,"SIM","NÃO")),"FECHADO")),"")</f>
        <v>#N/A</v>
      </c>
    </row>
    <row r="99" spans="1:15" s="97" customFormat="1" ht="15.75" customHeight="1" outlineLevel="1" x14ac:dyDescent="0.25">
      <c r="A99" s="231" t="str">
        <f>IF(AND(MID(A96,5,1)&gt;="M",MID(A96,5,1)&lt;="X"),"PUT","CALL")</f>
        <v>PUT</v>
      </c>
      <c r="B99" s="189" t="s">
        <v>114</v>
      </c>
      <c r="C99" s="179" t="e">
        <f>RTD("tryd.rtdserver",,"COT","PETR4","Ult")</f>
        <v>#N/A</v>
      </c>
      <c r="D99" s="179" t="e">
        <f>IF(A96&lt;&gt;"",RTD("tryd.rtdserver",,"COT",$A96,"Ult"),0)</f>
        <v>#N/A</v>
      </c>
      <c r="E99" s="369"/>
      <c r="F99" s="180" t="e">
        <f>IF(A96&lt;&gt;"",ABS(C99-E98)/C99,0)</f>
        <v>#N/A</v>
      </c>
      <c r="G99" s="179" t="e">
        <f>D99*H98*-1</f>
        <v>#N/A</v>
      </c>
      <c r="H99" s="371"/>
      <c r="I99" s="373"/>
      <c r="J99" s="371"/>
      <c r="K99" s="375"/>
      <c r="L99" s="375"/>
      <c r="M99" s="361"/>
    </row>
    <row r="100" spans="1:15" s="97" customFormat="1" ht="15.75" customHeight="1" outlineLevel="1" x14ac:dyDescent="0.25">
      <c r="A100" s="176" t="s">
        <v>53</v>
      </c>
      <c r="B100" s="362" t="s">
        <v>54</v>
      </c>
      <c r="C100" s="363"/>
      <c r="D100" s="104"/>
      <c r="E100" s="364" t="s">
        <v>51</v>
      </c>
      <c r="F100" s="365"/>
      <c r="G100" s="179" t="e">
        <f>G98+G99</f>
        <v>#N/A</v>
      </c>
    </row>
    <row r="101" spans="1:15" s="97" customFormat="1" ht="15.75" customHeight="1" outlineLevel="1" x14ac:dyDescent="0.25">
      <c r="A101" s="165">
        <v>107974.2</v>
      </c>
      <c r="B101" s="166">
        <f>G98/A101</f>
        <v>1.1252688142167296E-2</v>
      </c>
      <c r="C101" s="165">
        <f>A101+G98</f>
        <v>109189.2</v>
      </c>
      <c r="D101" s="104"/>
      <c r="E101" s="476" t="s">
        <v>109</v>
      </c>
      <c r="F101" s="367">
        <f>E98*H98</f>
        <v>102600</v>
      </c>
      <c r="G101" s="472">
        <f>B101</f>
        <v>1.1252688142167296E-2</v>
      </c>
      <c r="I101" s="379" t="s">
        <v>140</v>
      </c>
      <c r="J101" s="380"/>
    </row>
    <row r="102" spans="1:15" s="97" customFormat="1" ht="15.75" customHeight="1" outlineLevel="1" x14ac:dyDescent="0.25">
      <c r="A102" s="181"/>
      <c r="B102" s="181"/>
      <c r="C102" s="181"/>
      <c r="D102" s="181"/>
      <c r="E102" s="476"/>
      <c r="F102" s="367"/>
      <c r="G102" s="472"/>
      <c r="H102" s="108"/>
      <c r="I102" s="472">
        <f>I93+B101</f>
        <v>3.7888017842790181E-2</v>
      </c>
      <c r="J102" s="473">
        <f>J93+G98</f>
        <v>4027</v>
      </c>
      <c r="M102" s="167"/>
    </row>
    <row r="103" spans="1:15" s="97" customFormat="1" ht="15.75" customHeight="1" outlineLevel="1" x14ac:dyDescent="0.25">
      <c r="A103" s="181"/>
      <c r="B103" s="181"/>
      <c r="C103" s="181"/>
      <c r="D103" s="181"/>
      <c r="E103" s="181"/>
      <c r="F103" s="181"/>
      <c r="G103" s="239"/>
      <c r="H103" s="108"/>
      <c r="I103" s="472"/>
      <c r="J103" s="473"/>
      <c r="M103" s="167"/>
    </row>
    <row r="104" spans="1:15" s="97" customFormat="1" ht="15.75" customHeight="1" outlineLevel="1" x14ac:dyDescent="0.25">
      <c r="A104" s="181"/>
      <c r="B104" s="181"/>
      <c r="C104" s="243"/>
      <c r="D104" s="181"/>
      <c r="E104" s="181"/>
      <c r="F104" s="244"/>
      <c r="G104" s="244"/>
      <c r="M104" s="167"/>
    </row>
    <row r="105" spans="1:15" x14ac:dyDescent="0.2">
      <c r="C105" s="246"/>
      <c r="F105" s="245"/>
    </row>
    <row r="106" spans="1:15" ht="23.25" x14ac:dyDescent="0.2">
      <c r="A106" s="490" t="s">
        <v>66</v>
      </c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2"/>
      <c r="O106" s="97"/>
    </row>
    <row r="107" spans="1:15" ht="18" hidden="1" outlineLevel="1" x14ac:dyDescent="0.2">
      <c r="A107" s="480" t="s">
        <v>21</v>
      </c>
      <c r="B107" s="482"/>
      <c r="C107" s="99" t="s">
        <v>97</v>
      </c>
      <c r="D107" s="199" t="e">
        <f>RTD("tryd.rtdserver",,"COT","PETR4","Ult")</f>
        <v>#N/A</v>
      </c>
      <c r="E107" s="99" t="s">
        <v>34</v>
      </c>
      <c r="F107" s="194">
        <f>D116</f>
        <v>2400</v>
      </c>
      <c r="G107" s="99" t="s">
        <v>132</v>
      </c>
      <c r="H107" s="195" t="e">
        <f>RTD("tryd.rtdserver",,"COT","PETR4","Ult")</f>
        <v>#N/A</v>
      </c>
      <c r="I107" s="97"/>
      <c r="J107" s="97"/>
      <c r="K107" s="108"/>
      <c r="L107" s="97"/>
      <c r="M107" s="97"/>
      <c r="O107" s="97"/>
    </row>
    <row r="108" spans="1:15" ht="15" hidden="1" outlineLevel="2" x14ac:dyDescent="0.2">
      <c r="A108" s="99" t="s">
        <v>96</v>
      </c>
      <c r="B108" s="99" t="s">
        <v>85</v>
      </c>
      <c r="C108" s="99" t="s">
        <v>118</v>
      </c>
      <c r="D108" s="99" t="s">
        <v>34</v>
      </c>
      <c r="E108" s="99" t="s">
        <v>117</v>
      </c>
      <c r="F108" s="99" t="s">
        <v>119</v>
      </c>
      <c r="G108" s="99" t="s">
        <v>2</v>
      </c>
      <c r="H108" s="99" t="s">
        <v>120</v>
      </c>
      <c r="I108" s="97"/>
      <c r="J108" s="142"/>
      <c r="K108" s="108"/>
      <c r="L108" s="97"/>
      <c r="M108" s="97"/>
      <c r="O108" s="97"/>
    </row>
    <row r="109" spans="1:15" ht="15" hidden="1" outlineLevel="2" x14ac:dyDescent="0.25">
      <c r="A109" s="102" t="s">
        <v>21</v>
      </c>
      <c r="B109" s="191">
        <v>45889</v>
      </c>
      <c r="C109" s="179">
        <v>37.159999999999997</v>
      </c>
      <c r="D109" s="213">
        <v>2400</v>
      </c>
      <c r="E109" s="179">
        <f>D109*C109</f>
        <v>89183.999999999985</v>
      </c>
      <c r="F109" s="179" t="e">
        <f>$H$2*D109</f>
        <v>#N/A</v>
      </c>
      <c r="G109" s="179" t="e">
        <f>F109-E109</f>
        <v>#N/A</v>
      </c>
      <c r="H109" s="180" t="e">
        <f>G109/E109</f>
        <v>#N/A</v>
      </c>
      <c r="I109" s="97"/>
      <c r="J109" s="97"/>
      <c r="K109" s="108"/>
      <c r="L109" s="97"/>
      <c r="M109" s="97"/>
      <c r="O109" s="97"/>
    </row>
    <row r="110" spans="1:15" ht="15" hidden="1" outlineLevel="2" x14ac:dyDescent="0.25">
      <c r="A110" s="102"/>
      <c r="B110" s="191"/>
      <c r="C110" s="179"/>
      <c r="D110" s="213"/>
      <c r="E110" s="179"/>
      <c r="F110" s="179"/>
      <c r="G110" s="179"/>
      <c r="H110" s="180"/>
      <c r="I110" s="97"/>
      <c r="J110" s="97"/>
      <c r="K110" s="108"/>
      <c r="L110" s="97"/>
      <c r="M110" s="97"/>
      <c r="O110" s="97"/>
    </row>
    <row r="111" spans="1:15" ht="15" hidden="1" outlineLevel="2" x14ac:dyDescent="0.25">
      <c r="A111" s="102"/>
      <c r="B111" s="191"/>
      <c r="C111" s="179"/>
      <c r="D111" s="213"/>
      <c r="E111" s="179"/>
      <c r="F111" s="179"/>
      <c r="G111" s="179"/>
      <c r="H111" s="180"/>
      <c r="I111" s="97"/>
      <c r="J111" s="97"/>
      <c r="K111" s="108"/>
      <c r="L111" s="97"/>
      <c r="M111" s="97"/>
      <c r="O111" s="97"/>
    </row>
    <row r="112" spans="1:15" ht="15" hidden="1" outlineLevel="2" x14ac:dyDescent="0.25">
      <c r="A112" s="102"/>
      <c r="B112" s="191"/>
      <c r="C112" s="179"/>
      <c r="D112" s="213"/>
      <c r="E112" s="179"/>
      <c r="F112" s="179"/>
      <c r="G112" s="179"/>
      <c r="H112" s="180"/>
      <c r="I112" s="97"/>
      <c r="J112" s="97"/>
      <c r="K112" s="108"/>
      <c r="L112" s="97"/>
      <c r="M112" s="97"/>
      <c r="O112" s="97"/>
    </row>
    <row r="113" spans="1:15" ht="15" hidden="1" outlineLevel="2" x14ac:dyDescent="0.25">
      <c r="A113" s="102"/>
      <c r="B113" s="191"/>
      <c r="C113" s="179"/>
      <c r="D113" s="213"/>
      <c r="E113" s="179"/>
      <c r="F113" s="179"/>
      <c r="G113" s="179"/>
      <c r="H113" s="180"/>
      <c r="I113" s="97"/>
      <c r="J113" s="97"/>
      <c r="K113" s="108"/>
      <c r="L113" s="97"/>
      <c r="M113" s="97"/>
      <c r="O113" s="97"/>
    </row>
    <row r="114" spans="1:15" ht="15" hidden="1" outlineLevel="2" x14ac:dyDescent="0.25">
      <c r="A114" s="102"/>
      <c r="B114" s="191"/>
      <c r="C114" s="179"/>
      <c r="D114" s="213"/>
      <c r="E114" s="179"/>
      <c r="F114" s="179"/>
      <c r="G114" s="179"/>
      <c r="H114" s="180"/>
      <c r="I114" s="97"/>
      <c r="J114" s="97"/>
      <c r="K114" s="108"/>
      <c r="L114" s="97"/>
      <c r="M114" s="97"/>
      <c r="O114" s="97"/>
    </row>
    <row r="115" spans="1:15" ht="15" hidden="1" outlineLevel="2" x14ac:dyDescent="0.25">
      <c r="A115" s="102"/>
      <c r="B115" s="191"/>
      <c r="C115" s="198"/>
      <c r="D115" s="102"/>
      <c r="E115" s="192"/>
      <c r="F115" s="192"/>
      <c r="G115" s="192"/>
      <c r="H115" s="192"/>
      <c r="I115" s="97"/>
      <c r="J115" s="97"/>
      <c r="K115" s="108"/>
      <c r="L115" s="97"/>
      <c r="M115" s="97"/>
      <c r="O115" s="97"/>
    </row>
    <row r="116" spans="1:15" ht="15.75" hidden="1" outlineLevel="2" x14ac:dyDescent="0.2">
      <c r="A116" s="190"/>
      <c r="B116" s="194" t="s">
        <v>108</v>
      </c>
      <c r="C116" s="195">
        <f>E116/D116</f>
        <v>37.159999999999997</v>
      </c>
      <c r="D116" s="212">
        <f>SUM(D109:D115)</f>
        <v>2400</v>
      </c>
      <c r="E116" s="193">
        <f>SUM(E109:E115)</f>
        <v>89183.999999999985</v>
      </c>
      <c r="F116" s="193" t="e">
        <f>SUM(F109:F115)</f>
        <v>#N/A</v>
      </c>
      <c r="G116" s="214" t="e">
        <f>SUM(G109:G115)</f>
        <v>#N/A</v>
      </c>
      <c r="H116" s="215" t="e">
        <f>G116/$E$116</f>
        <v>#N/A</v>
      </c>
      <c r="I116" s="97"/>
      <c r="J116" s="97"/>
      <c r="K116" s="108"/>
      <c r="L116" s="97"/>
      <c r="M116" s="97"/>
      <c r="O116" s="97"/>
    </row>
    <row r="117" spans="1:15" ht="15" hidden="1" customHeight="1" outlineLevel="2" x14ac:dyDescent="0.2">
      <c r="A117" s="97"/>
      <c r="B117" s="97"/>
      <c r="C117" s="97"/>
      <c r="D117" s="97"/>
      <c r="E117" s="97"/>
      <c r="F117" s="97"/>
      <c r="G117" s="97"/>
      <c r="H117" s="97"/>
      <c r="I117" s="97"/>
      <c r="J117" s="97"/>
      <c r="K117" s="108"/>
      <c r="L117" s="97"/>
      <c r="M117" s="97"/>
      <c r="O117" s="97"/>
    </row>
    <row r="118" spans="1:15" ht="15" hidden="1" customHeight="1" outlineLevel="2" x14ac:dyDescent="0.2">
      <c r="A118" s="97"/>
      <c r="B118" s="489" t="s">
        <v>125</v>
      </c>
      <c r="C118" s="489"/>
      <c r="D118" s="489"/>
      <c r="E118" s="97"/>
      <c r="F118" s="97"/>
      <c r="G118" s="97"/>
      <c r="H118" s="97"/>
      <c r="I118" s="97"/>
      <c r="J118" s="97"/>
      <c r="K118" s="108"/>
      <c r="L118" s="97"/>
      <c r="M118" s="97"/>
      <c r="O118" s="97"/>
    </row>
    <row r="119" spans="1:15" ht="15" hidden="1" customHeight="1" outlineLevel="2" x14ac:dyDescent="0.2">
      <c r="A119" s="97"/>
      <c r="B119" s="194" t="s">
        <v>124</v>
      </c>
      <c r="C119" s="179" t="e">
        <f>E125-C116</f>
        <v>#N/A</v>
      </c>
      <c r="D119" s="372" t="e">
        <f>C119/C116</f>
        <v>#N/A</v>
      </c>
      <c r="E119" s="97"/>
      <c r="F119" s="97"/>
      <c r="G119" s="97"/>
      <c r="H119" s="97"/>
      <c r="I119" s="97"/>
      <c r="J119" s="97"/>
      <c r="K119" s="108"/>
      <c r="L119" s="97"/>
      <c r="M119" s="97"/>
      <c r="O119" s="97"/>
    </row>
    <row r="120" spans="1:15" ht="15" hidden="1" customHeight="1" outlineLevel="2" x14ac:dyDescent="0.2">
      <c r="A120" s="97"/>
      <c r="B120" s="97"/>
      <c r="C120" s="179" t="e">
        <f>C119*H125</f>
        <v>#N/A</v>
      </c>
      <c r="D120" s="373"/>
      <c r="E120" s="97"/>
      <c r="F120" s="97"/>
      <c r="G120" s="97"/>
      <c r="H120" s="97"/>
      <c r="I120" s="97"/>
      <c r="J120" s="97"/>
      <c r="K120" s="108"/>
      <c r="L120" s="97"/>
      <c r="M120" s="97"/>
      <c r="O120" s="97"/>
    </row>
    <row r="121" spans="1:15" hidden="1" outlineLevel="1" collapsed="1" x14ac:dyDescent="0.2">
      <c r="A121" s="97"/>
      <c r="B121" s="97"/>
      <c r="C121" s="97"/>
      <c r="D121" s="97"/>
      <c r="E121" s="97"/>
      <c r="F121" s="97"/>
      <c r="G121" s="97"/>
      <c r="H121" s="20"/>
      <c r="I121" s="97"/>
      <c r="J121" s="97"/>
      <c r="K121" s="108"/>
      <c r="L121" s="97"/>
      <c r="M121" s="97"/>
      <c r="O121" s="97"/>
    </row>
    <row r="122" spans="1:15" hidden="1" outlineLevel="1" x14ac:dyDescent="0.2">
      <c r="A122" s="97"/>
      <c r="B122" s="97"/>
      <c r="C122" s="97"/>
      <c r="D122" s="97"/>
      <c r="E122" s="97"/>
      <c r="F122" s="97"/>
      <c r="G122" s="97"/>
      <c r="H122" s="20"/>
      <c r="I122" s="97"/>
      <c r="J122" s="97"/>
      <c r="K122" s="108"/>
      <c r="L122" s="97"/>
      <c r="M122" s="97"/>
      <c r="O122" s="97"/>
    </row>
    <row r="123" spans="1:15" ht="15" hidden="1" outlineLevel="1" x14ac:dyDescent="0.25">
      <c r="A123" s="100" t="s">
        <v>136</v>
      </c>
      <c r="B123" s="102" t="str">
        <f xml:space="preserve"> CONCATENATE(A125, " - ",A126)</f>
        <v>Venda - PUT</v>
      </c>
      <c r="C123" s="234"/>
      <c r="D123" s="234"/>
      <c r="E123" s="234"/>
      <c r="F123" s="234"/>
      <c r="G123" s="234"/>
      <c r="H123" s="234"/>
      <c r="I123" s="234"/>
      <c r="J123" s="234"/>
      <c r="K123" s="234"/>
      <c r="L123" s="234"/>
      <c r="M123" s="235"/>
      <c r="O123" s="97"/>
    </row>
    <row r="124" spans="1:15" ht="15" hidden="1" outlineLevel="1" x14ac:dyDescent="0.25">
      <c r="A124" s="102" t="s">
        <v>88</v>
      </c>
      <c r="B124" s="102" t="s">
        <v>112</v>
      </c>
      <c r="C124" s="102" t="s">
        <v>86</v>
      </c>
      <c r="D124" s="102" t="s">
        <v>40</v>
      </c>
      <c r="E124" s="102" t="s">
        <v>41</v>
      </c>
      <c r="F124" s="102" t="s">
        <v>42</v>
      </c>
      <c r="G124" s="102" t="s">
        <v>43</v>
      </c>
      <c r="H124" s="102" t="s">
        <v>34</v>
      </c>
      <c r="I124" s="103" t="s">
        <v>46</v>
      </c>
      <c r="J124" s="103" t="s">
        <v>135</v>
      </c>
      <c r="K124" s="103" t="s">
        <v>47</v>
      </c>
      <c r="L124" s="103" t="s">
        <v>48</v>
      </c>
      <c r="M124" s="103" t="s">
        <v>58</v>
      </c>
      <c r="O124" s="97"/>
    </row>
    <row r="125" spans="1:15" ht="15.75" hidden="1" outlineLevel="1" x14ac:dyDescent="0.2">
      <c r="A125" s="176" t="s">
        <v>49</v>
      </c>
      <c r="B125" s="189" t="s">
        <v>113</v>
      </c>
      <c r="C125" s="179">
        <v>37.549999999999997</v>
      </c>
      <c r="D125" s="179">
        <v>0.6</v>
      </c>
      <c r="E125" s="368" t="e">
        <f>RTD("tryd.rtdserver",,"COT",A123,"Exerc")</f>
        <v>#N/A</v>
      </c>
      <c r="F125" s="180" t="e">
        <f>ABS(C125-E125)/C125</f>
        <v>#N/A</v>
      </c>
      <c r="G125" s="179">
        <f>H125*D125</f>
        <v>1440</v>
      </c>
      <c r="H125" s="370">
        <v>2400</v>
      </c>
      <c r="I125" s="372" t="e">
        <f>G127/G125</f>
        <v>#N/A</v>
      </c>
      <c r="J125" s="370" t="e">
        <f>RTD("tryd.rtdserver",,"COT",A123,"Expir")</f>
        <v>#N/A</v>
      </c>
      <c r="K125" s="375" t="e">
        <f>RTD("tryd.rtdserver",,"COT",A123,"DiasExpir")</f>
        <v>#N/A</v>
      </c>
      <c r="L125" s="375" t="e">
        <f>RTD("tryd.rtdserver",,"COT",A123,"DiaUtExp")</f>
        <v>#N/A</v>
      </c>
      <c r="M125" s="361" t="e">
        <f>IF(A126="CALL",(IF(C126&gt;=E125,"SIM","NÃO")),IF(A126="PUT",(IF(C126&lt;E125,"SIM","NÃO")),"FECHADO"))</f>
        <v>#N/A</v>
      </c>
      <c r="O125" s="97"/>
    </row>
    <row r="126" spans="1:15" ht="15.75" hidden="1" outlineLevel="1" x14ac:dyDescent="0.2">
      <c r="A126" s="231" t="str">
        <f>IF(AND(MID(A123,5,1)&gt;="M",MID(A123,5,1)&lt;="X"),"PUT","CALL")</f>
        <v>PUT</v>
      </c>
      <c r="B126" s="189" t="s">
        <v>114</v>
      </c>
      <c r="C126" s="179">
        <v>38.04</v>
      </c>
      <c r="D126" s="179" t="e">
        <f>RTD("tryd.rtdserver",,"COT",$A123,"Ult")</f>
        <v>#N/A</v>
      </c>
      <c r="E126" s="369"/>
      <c r="F126" s="180" t="e">
        <f>ABS(C126-E125)/C126</f>
        <v>#N/A</v>
      </c>
      <c r="G126" s="179" t="e">
        <f>D126*H125*-1</f>
        <v>#N/A</v>
      </c>
      <c r="H126" s="371"/>
      <c r="I126" s="373"/>
      <c r="J126" s="371"/>
      <c r="K126" s="375"/>
      <c r="L126" s="375"/>
      <c r="M126" s="361"/>
      <c r="O126" s="97"/>
    </row>
    <row r="127" spans="1:15" ht="15.75" hidden="1" outlineLevel="1" x14ac:dyDescent="0.25">
      <c r="A127" s="176" t="s">
        <v>53</v>
      </c>
      <c r="B127" s="362" t="s">
        <v>54</v>
      </c>
      <c r="C127" s="363"/>
      <c r="D127" s="104"/>
      <c r="E127" s="364" t="s">
        <v>51</v>
      </c>
      <c r="F127" s="365"/>
      <c r="G127" s="179" t="e">
        <f>G125+G126</f>
        <v>#N/A</v>
      </c>
      <c r="H127" s="97"/>
      <c r="I127" s="97"/>
      <c r="J127" s="97"/>
      <c r="K127" s="97"/>
      <c r="L127" s="97"/>
      <c r="M127" s="97"/>
      <c r="O127" s="97"/>
    </row>
    <row r="128" spans="1:15" ht="15" hidden="1" outlineLevel="1" x14ac:dyDescent="0.2">
      <c r="A128" s="165">
        <v>90318.37</v>
      </c>
      <c r="B128" s="166">
        <f>G125/A128</f>
        <v>1.5943600399342905E-2</v>
      </c>
      <c r="C128" s="165">
        <f>A128+G125</f>
        <v>91758.37</v>
      </c>
      <c r="D128" s="104"/>
      <c r="E128" s="366" t="s">
        <v>58</v>
      </c>
      <c r="F128" s="367" t="e">
        <f>E125*H125</f>
        <v>#N/A</v>
      </c>
      <c r="G128" s="472">
        <f>B128</f>
        <v>1.5943600399342905E-2</v>
      </c>
      <c r="H128" s="248"/>
      <c r="I128" s="97"/>
      <c r="J128" s="97"/>
      <c r="K128" s="97"/>
      <c r="L128" s="97"/>
      <c r="M128" s="97"/>
      <c r="O128" s="97"/>
    </row>
    <row r="129" spans="1:15" ht="15" hidden="1" outlineLevel="1" x14ac:dyDescent="0.2">
      <c r="A129" s="181"/>
      <c r="B129" s="181"/>
      <c r="C129" s="181"/>
      <c r="D129" s="181"/>
      <c r="E129" s="366"/>
      <c r="F129" s="367"/>
      <c r="G129" s="472"/>
      <c r="H129" s="97"/>
      <c r="I129" s="97"/>
      <c r="J129" s="97"/>
      <c r="K129" s="97"/>
      <c r="L129" s="97"/>
      <c r="M129" s="167"/>
      <c r="O129" s="97"/>
    </row>
    <row r="130" spans="1:15" hidden="1" outlineLevel="1" x14ac:dyDescent="0.2">
      <c r="A130" s="97"/>
      <c r="B130" s="97"/>
      <c r="C130" s="97"/>
      <c r="D130" s="97"/>
      <c r="E130" s="97"/>
      <c r="F130" s="97"/>
      <c r="G130" s="97"/>
      <c r="H130" s="20"/>
      <c r="I130" s="97" t="s">
        <v>29</v>
      </c>
      <c r="J130" s="97"/>
      <c r="K130" s="108"/>
      <c r="L130" s="97"/>
      <c r="M130" s="97"/>
      <c r="O130" s="97"/>
    </row>
    <row r="131" spans="1:15" hidden="1" outlineLevel="1" x14ac:dyDescent="0.2">
      <c r="A131" s="97"/>
      <c r="B131" s="97"/>
      <c r="C131" s="97"/>
      <c r="D131" s="97"/>
      <c r="E131" s="97"/>
      <c r="F131" s="97"/>
      <c r="G131" s="97"/>
      <c r="H131" s="20"/>
      <c r="I131" s="97"/>
      <c r="J131" s="97"/>
      <c r="K131" s="108"/>
      <c r="L131" s="97"/>
      <c r="M131" s="97"/>
      <c r="O131" s="97"/>
    </row>
    <row r="132" spans="1:15" ht="15" hidden="1" outlineLevel="1" x14ac:dyDescent="0.25">
      <c r="A132" s="100" t="s">
        <v>151</v>
      </c>
      <c r="B132" s="102" t="str">
        <f xml:space="preserve"> CONCATENATE(A134, " - ",A135)</f>
        <v>Venda - PUT</v>
      </c>
      <c r="C132" s="234"/>
      <c r="D132" s="234"/>
      <c r="E132" s="234"/>
      <c r="F132" s="234"/>
      <c r="G132" s="234"/>
      <c r="H132" s="234"/>
      <c r="I132" s="234"/>
      <c r="J132" s="234"/>
      <c r="K132" s="234"/>
      <c r="L132" s="234"/>
      <c r="M132" s="235"/>
      <c r="O132" s="97"/>
    </row>
    <row r="133" spans="1:15" ht="15" hidden="1" outlineLevel="1" x14ac:dyDescent="0.25">
      <c r="A133" s="102" t="s">
        <v>88</v>
      </c>
      <c r="B133" s="102" t="s">
        <v>112</v>
      </c>
      <c r="C133" s="102" t="s">
        <v>86</v>
      </c>
      <c r="D133" s="102" t="s">
        <v>40</v>
      </c>
      <c r="E133" s="102" t="s">
        <v>41</v>
      </c>
      <c r="F133" s="102" t="s">
        <v>42</v>
      </c>
      <c r="G133" s="102" t="s">
        <v>43</v>
      </c>
      <c r="H133" s="102" t="s">
        <v>34</v>
      </c>
      <c r="I133" s="103" t="s">
        <v>46</v>
      </c>
      <c r="J133" s="103" t="s">
        <v>135</v>
      </c>
      <c r="K133" s="103" t="s">
        <v>47</v>
      </c>
      <c r="L133" s="103" t="s">
        <v>48</v>
      </c>
      <c r="M133" s="103" t="s">
        <v>58</v>
      </c>
      <c r="O133" s="97"/>
    </row>
    <row r="134" spans="1:15" ht="15.75" hidden="1" outlineLevel="1" x14ac:dyDescent="0.2">
      <c r="A134" s="176" t="s">
        <v>49</v>
      </c>
      <c r="B134" s="189" t="s">
        <v>113</v>
      </c>
      <c r="C134" s="179">
        <v>38.03</v>
      </c>
      <c r="D134" s="179">
        <v>0.45</v>
      </c>
      <c r="E134" s="368" t="e">
        <f>RTD("tryd.rtdserver",,"COT",A132,"Exerc")</f>
        <v>#N/A</v>
      </c>
      <c r="F134" s="180" t="e">
        <f>ABS(C134-E134)/C134</f>
        <v>#N/A</v>
      </c>
      <c r="G134" s="179">
        <f>H134*D134</f>
        <v>1080</v>
      </c>
      <c r="H134" s="370">
        <v>2400</v>
      </c>
      <c r="I134" s="372" t="e">
        <f>G136/G134</f>
        <v>#N/A</v>
      </c>
      <c r="J134" s="374">
        <v>45716</v>
      </c>
      <c r="K134" s="375" t="e">
        <f>RTD("tryd.rtdserver",,"COT",A132,"DiasExpir")</f>
        <v>#N/A</v>
      </c>
      <c r="L134" s="375" t="e">
        <f>RTD("tryd.rtdserver",,"COT",A132,"DiaUtExp")</f>
        <v>#N/A</v>
      </c>
      <c r="M134" s="361" t="e">
        <f>IF(A135="CALL",(IF(C135&gt;=E134,"SIM","NÃO")),IF(A135="PUT",(IF(C135&lt;E134,"SIM","NÃO")),"FECHADO"))</f>
        <v>#N/A</v>
      </c>
      <c r="O134" s="97"/>
    </row>
    <row r="135" spans="1:15" ht="15.75" hidden="1" outlineLevel="1" x14ac:dyDescent="0.2">
      <c r="A135" s="231" t="str">
        <f>IF(AND(MID(A132,5,1)&gt;="M",MID(A132,5,1)&lt;="X"),"PUT","CALL")</f>
        <v>PUT</v>
      </c>
      <c r="B135" s="189" t="s">
        <v>114</v>
      </c>
      <c r="C135" s="179" t="e">
        <f>RTD("tryd.rtdserver",,"COT","PETR4","Ult")</f>
        <v>#N/A</v>
      </c>
      <c r="D135" s="179" t="e">
        <f>RTD("tryd.rtdserver",,"COT",$A132,"Ult")</f>
        <v>#N/A</v>
      </c>
      <c r="E135" s="369"/>
      <c r="F135" s="180" t="e">
        <f>ABS(C135-E134)/C135</f>
        <v>#N/A</v>
      </c>
      <c r="G135" s="179" t="e">
        <f>D135*H134*-1</f>
        <v>#N/A</v>
      </c>
      <c r="H135" s="371"/>
      <c r="I135" s="373"/>
      <c r="J135" s="371"/>
      <c r="K135" s="375"/>
      <c r="L135" s="375"/>
      <c r="M135" s="361"/>
      <c r="O135" s="97"/>
    </row>
    <row r="136" spans="1:15" ht="15.75" hidden="1" outlineLevel="1" x14ac:dyDescent="0.25">
      <c r="A136" s="176" t="s">
        <v>53</v>
      </c>
      <c r="B136" s="362" t="s">
        <v>54</v>
      </c>
      <c r="C136" s="363"/>
      <c r="D136" s="104"/>
      <c r="E136" s="364" t="s">
        <v>51</v>
      </c>
      <c r="F136" s="365"/>
      <c r="G136" s="179" t="e">
        <f>G134+G135</f>
        <v>#N/A</v>
      </c>
      <c r="H136" s="97"/>
      <c r="I136" s="97"/>
      <c r="J136" s="97"/>
      <c r="K136" s="97"/>
      <c r="L136" s="97"/>
      <c r="M136" s="97"/>
      <c r="O136" s="97"/>
    </row>
    <row r="137" spans="1:15" ht="15" hidden="1" outlineLevel="1" x14ac:dyDescent="0.2">
      <c r="A137" s="165">
        <v>90318.37</v>
      </c>
      <c r="B137" s="166">
        <f>G134/A137</f>
        <v>1.1957700299507178E-2</v>
      </c>
      <c r="C137" s="165">
        <f>A137+G134</f>
        <v>91398.37</v>
      </c>
      <c r="D137" s="104"/>
      <c r="E137" s="366" t="s">
        <v>58</v>
      </c>
      <c r="F137" s="367" t="e">
        <f>E134*H134</f>
        <v>#N/A</v>
      </c>
      <c r="G137" s="472">
        <f>B137</f>
        <v>1.1957700299507178E-2</v>
      </c>
      <c r="H137" s="248"/>
      <c r="I137" s="97"/>
      <c r="J137" s="97"/>
      <c r="K137" s="97"/>
      <c r="L137" s="97"/>
      <c r="M137" s="97"/>
      <c r="O137" s="97"/>
    </row>
    <row r="138" spans="1:15" ht="15" hidden="1" outlineLevel="1" x14ac:dyDescent="0.2">
      <c r="A138" s="181"/>
      <c r="B138" s="181"/>
      <c r="C138" s="181"/>
      <c r="D138" s="181"/>
      <c r="E138" s="366"/>
      <c r="F138" s="367"/>
      <c r="G138" s="472"/>
      <c r="H138" s="97"/>
      <c r="I138" s="97"/>
      <c r="J138" s="97"/>
      <c r="K138" s="97"/>
      <c r="L138" s="97"/>
      <c r="M138" s="167"/>
      <c r="O138" s="97"/>
    </row>
    <row r="139" spans="1:15" hidden="1" outlineLevel="1" x14ac:dyDescent="0.2">
      <c r="A139" s="97"/>
      <c r="B139" s="97"/>
      <c r="C139" s="97"/>
      <c r="D139" s="97"/>
      <c r="E139" s="97"/>
      <c r="F139" s="97"/>
      <c r="G139" s="97"/>
      <c r="H139" s="20"/>
      <c r="I139" s="97"/>
      <c r="J139" s="97"/>
      <c r="K139" s="108"/>
      <c r="L139" s="97"/>
      <c r="M139" s="97"/>
      <c r="O139" s="97"/>
    </row>
    <row r="140" spans="1:15" hidden="1" outlineLevel="1" x14ac:dyDescent="0.2">
      <c r="A140" s="97"/>
      <c r="B140" s="97"/>
      <c r="C140" s="97"/>
      <c r="D140" s="97"/>
      <c r="E140" s="97"/>
      <c r="F140" s="97"/>
      <c r="G140" s="97"/>
      <c r="H140" s="20"/>
      <c r="I140" s="97"/>
      <c r="J140" s="97"/>
      <c r="K140" s="108"/>
      <c r="L140" s="97"/>
      <c r="M140" s="97"/>
      <c r="O140" s="97"/>
    </row>
    <row r="141" spans="1:15" hidden="1" outlineLevel="1" x14ac:dyDescent="0.2">
      <c r="A141" s="97"/>
      <c r="B141" s="97"/>
      <c r="C141" s="97"/>
      <c r="D141" s="97"/>
      <c r="E141" s="97"/>
      <c r="F141" s="97"/>
      <c r="G141" s="97"/>
      <c r="H141" s="20"/>
      <c r="I141" s="97"/>
      <c r="J141" s="97"/>
      <c r="K141" s="108"/>
      <c r="L141" s="97"/>
      <c r="M141" s="97"/>
      <c r="O141" s="97"/>
    </row>
    <row r="142" spans="1:15" collapsed="1" x14ac:dyDescent="0.2">
      <c r="D142" s="168"/>
      <c r="F142" s="138"/>
      <c r="J142" s="140"/>
      <c r="K142" s="140"/>
      <c r="L142" s="140"/>
      <c r="M142" s="140"/>
    </row>
  </sheetData>
  <mergeCells count="165">
    <mergeCell ref="E137:E138"/>
    <mergeCell ref="F137:F138"/>
    <mergeCell ref="G137:G138"/>
    <mergeCell ref="E134:E135"/>
    <mergeCell ref="H134:H135"/>
    <mergeCell ref="I134:I135"/>
    <mergeCell ref="J134:J135"/>
    <mergeCell ref="L125:L126"/>
    <mergeCell ref="M134:M135"/>
    <mergeCell ref="K125:K126"/>
    <mergeCell ref="B136:C136"/>
    <mergeCell ref="E136:F136"/>
    <mergeCell ref="M98:M99"/>
    <mergeCell ref="B100:C100"/>
    <mergeCell ref="E100:F100"/>
    <mergeCell ref="A107:B107"/>
    <mergeCell ref="B118:D118"/>
    <mergeCell ref="D119:D120"/>
    <mergeCell ref="A106:M106"/>
    <mergeCell ref="E101:E102"/>
    <mergeCell ref="F101:F102"/>
    <mergeCell ref="G101:G102"/>
    <mergeCell ref="I101:J101"/>
    <mergeCell ref="I102:I103"/>
    <mergeCell ref="J102:J103"/>
    <mergeCell ref="E98:E99"/>
    <mergeCell ref="H98:H99"/>
    <mergeCell ref="K134:K135"/>
    <mergeCell ref="L134:L135"/>
    <mergeCell ref="I98:I99"/>
    <mergeCell ref="J98:J99"/>
    <mergeCell ref="B127:C127"/>
    <mergeCell ref="E127:F127"/>
    <mergeCell ref="M125:M126"/>
    <mergeCell ref="B30:C30"/>
    <mergeCell ref="E30:F30"/>
    <mergeCell ref="M28:M29"/>
    <mergeCell ref="H28:H29"/>
    <mergeCell ref="J28:J29"/>
    <mergeCell ref="K28:K29"/>
    <mergeCell ref="L36:L37"/>
    <mergeCell ref="K98:K99"/>
    <mergeCell ref="L98:L99"/>
    <mergeCell ref="J66:J67"/>
    <mergeCell ref="E71:E72"/>
    <mergeCell ref="H71:H72"/>
    <mergeCell ref="I71:I72"/>
    <mergeCell ref="J71:J72"/>
    <mergeCell ref="L62:L63"/>
    <mergeCell ref="G74:G75"/>
    <mergeCell ref="I74:J74"/>
    <mergeCell ref="I75:I76"/>
    <mergeCell ref="J75:J76"/>
    <mergeCell ref="K89:K90"/>
    <mergeCell ref="L89:L90"/>
    <mergeCell ref="E74:E75"/>
    <mergeCell ref="F74:F75"/>
    <mergeCell ref="E92:E93"/>
    <mergeCell ref="A1:M1"/>
    <mergeCell ref="A2:F2"/>
    <mergeCell ref="J2:M2"/>
    <mergeCell ref="B22:D22"/>
    <mergeCell ref="F22:G22"/>
    <mergeCell ref="D23:D24"/>
    <mergeCell ref="F23:F24"/>
    <mergeCell ref="G23:G24"/>
    <mergeCell ref="E28:E29"/>
    <mergeCell ref="I28:I29"/>
    <mergeCell ref="L28:L29"/>
    <mergeCell ref="B55:C55"/>
    <mergeCell ref="E55:F55"/>
    <mergeCell ref="E53:E54"/>
    <mergeCell ref="H53:H54"/>
    <mergeCell ref="I53:I54"/>
    <mergeCell ref="J53:J54"/>
    <mergeCell ref="K53:K54"/>
    <mergeCell ref="E56:E57"/>
    <mergeCell ref="F56:F57"/>
    <mergeCell ref="G56:G57"/>
    <mergeCell ref="I56:J56"/>
    <mergeCell ref="I57:I58"/>
    <mergeCell ref="J57:J58"/>
    <mergeCell ref="L53:L54"/>
    <mergeCell ref="M53:M54"/>
    <mergeCell ref="M89:M90"/>
    <mergeCell ref="B91:C91"/>
    <mergeCell ref="I80:I81"/>
    <mergeCell ref="J80:J81"/>
    <mergeCell ref="M80:M81"/>
    <mergeCell ref="B82:C82"/>
    <mergeCell ref="M62:M63"/>
    <mergeCell ref="B64:C64"/>
    <mergeCell ref="M71:M72"/>
    <mergeCell ref="K71:K72"/>
    <mergeCell ref="B73:C73"/>
    <mergeCell ref="E73:F73"/>
    <mergeCell ref="K80:K81"/>
    <mergeCell ref="L80:L81"/>
    <mergeCell ref="E82:F82"/>
    <mergeCell ref="L71:L72"/>
    <mergeCell ref="E83:E84"/>
    <mergeCell ref="F83:F84"/>
    <mergeCell ref="G83:G84"/>
    <mergeCell ref="I83:J83"/>
    <mergeCell ref="I84:I85"/>
    <mergeCell ref="J84:J85"/>
    <mergeCell ref="B46:C46"/>
    <mergeCell ref="E46:F46"/>
    <mergeCell ref="E47:E48"/>
    <mergeCell ref="F47:F48"/>
    <mergeCell ref="G47:G48"/>
    <mergeCell ref="M36:M37"/>
    <mergeCell ref="B38:C38"/>
    <mergeCell ref="E38:F38"/>
    <mergeCell ref="E39:E40"/>
    <mergeCell ref="F39:F40"/>
    <mergeCell ref="G39:G40"/>
    <mergeCell ref="L44:L45"/>
    <mergeCell ref="M44:M45"/>
    <mergeCell ref="E44:E45"/>
    <mergeCell ref="H44:H45"/>
    <mergeCell ref="I48:I49"/>
    <mergeCell ref="J48:J49"/>
    <mergeCell ref="I44:I45"/>
    <mergeCell ref="J44:J45"/>
    <mergeCell ref="K44:K45"/>
    <mergeCell ref="E36:E37"/>
    <mergeCell ref="H36:H37"/>
    <mergeCell ref="I47:J47"/>
    <mergeCell ref="E31:E32"/>
    <mergeCell ref="F31:F32"/>
    <mergeCell ref="G31:G32"/>
    <mergeCell ref="I36:I37"/>
    <mergeCell ref="J36:J37"/>
    <mergeCell ref="K36:K37"/>
    <mergeCell ref="G128:G129"/>
    <mergeCell ref="E125:E126"/>
    <mergeCell ref="H125:H126"/>
    <mergeCell ref="I125:I126"/>
    <mergeCell ref="J125:J126"/>
    <mergeCell ref="E128:E129"/>
    <mergeCell ref="F128:F129"/>
    <mergeCell ref="E64:F64"/>
    <mergeCell ref="E65:E66"/>
    <mergeCell ref="F65:F66"/>
    <mergeCell ref="G65:G66"/>
    <mergeCell ref="I65:J65"/>
    <mergeCell ref="E62:E63"/>
    <mergeCell ref="H62:H63"/>
    <mergeCell ref="I62:I63"/>
    <mergeCell ref="J62:J63"/>
    <mergeCell ref="K62:K63"/>
    <mergeCell ref="I66:I67"/>
    <mergeCell ref="E80:E81"/>
    <mergeCell ref="H80:H81"/>
    <mergeCell ref="F92:F93"/>
    <mergeCell ref="G92:G93"/>
    <mergeCell ref="I92:J92"/>
    <mergeCell ref="I93:I94"/>
    <mergeCell ref="J93:J94"/>
    <mergeCell ref="E89:E90"/>
    <mergeCell ref="H89:H90"/>
    <mergeCell ref="I89:I90"/>
    <mergeCell ref="J89:J90"/>
    <mergeCell ref="E91:F91"/>
  </mergeCells>
  <conditionalFormatting sqref="E22 F23:G23 G20:G21 G116:H116 F9:F11 E9:E18 G9:G18 E109:H114 C109:C114 C4:C18 E4:H7 E8:G8 H7:H18">
    <cfRule type="cellIs" dxfId="306" priority="348" operator="greaterThan">
      <formula>0</formula>
    </cfRule>
    <cfRule type="cellIs" dxfId="305" priority="349" operator="lessThan">
      <formula>0</formula>
    </cfRule>
  </conditionalFormatting>
  <conditionalFormatting sqref="A21:F21 A22:B22">
    <cfRule type="cellIs" dxfId="304" priority="322" operator="greaterThan">
      <formula>0</formula>
    </cfRule>
    <cfRule type="cellIs" dxfId="303" priority="323" operator="lessThan">
      <formula>0</formula>
    </cfRule>
  </conditionalFormatting>
  <conditionalFormatting sqref="H20:H22">
    <cfRule type="cellIs" dxfId="302" priority="320" operator="greaterThan">
      <formula>0</formula>
    </cfRule>
    <cfRule type="cellIs" dxfId="301" priority="321" operator="lessThan">
      <formula>0</formula>
    </cfRule>
  </conditionalFormatting>
  <conditionalFormatting sqref="C23:C24">
    <cfRule type="cellIs" dxfId="300" priority="318" operator="greaterThan">
      <formula>0</formula>
    </cfRule>
    <cfRule type="cellIs" dxfId="299" priority="319" operator="lessThan">
      <formula>0</formula>
    </cfRule>
  </conditionalFormatting>
  <conditionalFormatting sqref="D23">
    <cfRule type="cellIs" dxfId="298" priority="316" operator="greaterThan">
      <formula>0</formula>
    </cfRule>
    <cfRule type="cellIs" dxfId="297" priority="317" operator="lessThan">
      <formula>0</formula>
    </cfRule>
  </conditionalFormatting>
  <conditionalFormatting sqref="B118">
    <cfRule type="cellIs" dxfId="296" priority="314" operator="greaterThan">
      <formula>0</formula>
    </cfRule>
    <cfRule type="cellIs" dxfId="295" priority="315" operator="lessThan">
      <formula>0</formula>
    </cfRule>
  </conditionalFormatting>
  <conditionalFormatting sqref="C119:C120">
    <cfRule type="cellIs" dxfId="294" priority="312" operator="greaterThan">
      <formula>0</formula>
    </cfRule>
    <cfRule type="cellIs" dxfId="293" priority="313" operator="lessThan">
      <formula>0</formula>
    </cfRule>
  </conditionalFormatting>
  <conditionalFormatting sqref="D119">
    <cfRule type="cellIs" dxfId="292" priority="310" operator="greaterThan">
      <formula>0</formula>
    </cfRule>
    <cfRule type="cellIs" dxfId="291" priority="311" operator="lessThan">
      <formula>0</formula>
    </cfRule>
  </conditionalFormatting>
  <conditionalFormatting sqref="C19:C20">
    <cfRule type="cellIs" dxfId="290" priority="308" operator="greaterThan">
      <formula>0</formula>
    </cfRule>
    <cfRule type="cellIs" dxfId="289" priority="309" operator="lessThan">
      <formula>0</formula>
    </cfRule>
  </conditionalFormatting>
  <conditionalFormatting sqref="B20">
    <cfRule type="cellIs" dxfId="288" priority="306" operator="greaterThan">
      <formula>0</formula>
    </cfRule>
    <cfRule type="cellIs" dxfId="287" priority="307" operator="lessThan">
      <formula>0</formula>
    </cfRule>
  </conditionalFormatting>
  <conditionalFormatting sqref="F22">
    <cfRule type="cellIs" dxfId="286" priority="304" operator="greaterThan">
      <formula>0</formula>
    </cfRule>
    <cfRule type="cellIs" dxfId="285" priority="305" operator="lessThan">
      <formula>0</formula>
    </cfRule>
  </conditionalFormatting>
  <conditionalFormatting sqref="E28">
    <cfRule type="expression" dxfId="284" priority="296">
      <formula>E28&gt;C29</formula>
    </cfRule>
    <cfRule type="expression" dxfId="283" priority="297">
      <formula>E28&lt;=C29</formula>
    </cfRule>
  </conditionalFormatting>
  <conditionalFormatting sqref="I28">
    <cfRule type="cellIs" dxfId="282" priority="292" operator="greaterThan">
      <formula>0</formula>
    </cfRule>
    <cfRule type="cellIs" dxfId="281" priority="293" operator="lessThan">
      <formula>0</formula>
    </cfRule>
  </conditionalFormatting>
  <conditionalFormatting sqref="F28:F29">
    <cfRule type="cellIs" dxfId="280" priority="286" operator="greaterThan">
      <formula>0</formula>
    </cfRule>
    <cfRule type="cellIs" dxfId="279" priority="287" operator="lessThan">
      <formula>0</formula>
    </cfRule>
  </conditionalFormatting>
  <conditionalFormatting sqref="C28:D29">
    <cfRule type="cellIs" dxfId="278" priority="284" operator="greaterThan">
      <formula>0</formula>
    </cfRule>
    <cfRule type="cellIs" dxfId="277" priority="285" operator="lessThan">
      <formula>0</formula>
    </cfRule>
  </conditionalFormatting>
  <conditionalFormatting sqref="G28:G30">
    <cfRule type="cellIs" dxfId="276" priority="302" operator="greaterThan">
      <formula>0</formula>
    </cfRule>
    <cfRule type="cellIs" dxfId="275" priority="303" operator="lessThan">
      <formula>0</formula>
    </cfRule>
  </conditionalFormatting>
  <conditionalFormatting sqref="F12">
    <cfRule type="cellIs" dxfId="274" priority="270" operator="greaterThan">
      <formula>0</formula>
    </cfRule>
    <cfRule type="cellIs" dxfId="273" priority="271" operator="lessThan">
      <formula>0</formula>
    </cfRule>
  </conditionalFormatting>
  <conditionalFormatting sqref="G31">
    <cfRule type="cellIs" dxfId="272" priority="268" operator="greaterThan">
      <formula>0</formula>
    </cfRule>
    <cfRule type="cellIs" dxfId="271" priority="269" operator="lessThan">
      <formula>0</formula>
    </cfRule>
  </conditionalFormatting>
  <conditionalFormatting sqref="F13">
    <cfRule type="cellIs" dxfId="270" priority="266" operator="greaterThan">
      <formula>0</formula>
    </cfRule>
    <cfRule type="cellIs" dxfId="269" priority="267" operator="lessThan">
      <formula>0</formula>
    </cfRule>
  </conditionalFormatting>
  <conditionalFormatting sqref="D11">
    <cfRule type="cellIs" dxfId="268" priority="264" operator="greaterThan">
      <formula>0</formula>
    </cfRule>
    <cfRule type="cellIs" dxfId="267" priority="265" operator="lessThan">
      <formula>0</formula>
    </cfRule>
  </conditionalFormatting>
  <conditionalFormatting sqref="D7">
    <cfRule type="cellIs" dxfId="266" priority="262" operator="greaterThan">
      <formula>0</formula>
    </cfRule>
    <cfRule type="cellIs" dxfId="265" priority="263" operator="lessThan">
      <formula>0</formula>
    </cfRule>
  </conditionalFormatting>
  <conditionalFormatting sqref="D5">
    <cfRule type="cellIs" dxfId="264" priority="260" operator="greaterThan">
      <formula>0</formula>
    </cfRule>
    <cfRule type="cellIs" dxfId="263" priority="261" operator="lessThan">
      <formula>0</formula>
    </cfRule>
  </conditionalFormatting>
  <conditionalFormatting sqref="F14">
    <cfRule type="cellIs" dxfId="262" priority="258" operator="greaterThan">
      <formula>0</formula>
    </cfRule>
    <cfRule type="cellIs" dxfId="261" priority="259" operator="lessThan">
      <formula>0</formula>
    </cfRule>
  </conditionalFormatting>
  <conditionalFormatting sqref="F15:F17">
    <cfRule type="cellIs" dxfId="260" priority="256" operator="greaterThan">
      <formula>0</formula>
    </cfRule>
    <cfRule type="cellIs" dxfId="259" priority="257" operator="lessThan">
      <formula>0</formula>
    </cfRule>
  </conditionalFormatting>
  <conditionalFormatting sqref="D9:D10">
    <cfRule type="cellIs" dxfId="258" priority="254" operator="greaterThan">
      <formula>0</formula>
    </cfRule>
    <cfRule type="cellIs" dxfId="257" priority="255" operator="lessThan">
      <formula>0</formula>
    </cfRule>
  </conditionalFormatting>
  <conditionalFormatting sqref="D14:D17">
    <cfRule type="cellIs" dxfId="256" priority="252" operator="greaterThan">
      <formula>0</formula>
    </cfRule>
    <cfRule type="cellIs" dxfId="255" priority="253" operator="lessThan">
      <formula>0</formula>
    </cfRule>
  </conditionalFormatting>
  <conditionalFormatting sqref="D12:D13">
    <cfRule type="cellIs" dxfId="254" priority="250" operator="greaterThan">
      <formula>0</formula>
    </cfRule>
    <cfRule type="cellIs" dxfId="253" priority="251" operator="lessThan">
      <formula>0</formula>
    </cfRule>
  </conditionalFormatting>
  <conditionalFormatting sqref="D6">
    <cfRule type="cellIs" dxfId="252" priority="248" operator="greaterThan">
      <formula>0</formula>
    </cfRule>
    <cfRule type="cellIs" dxfId="251" priority="249" operator="lessThan">
      <formula>0</formula>
    </cfRule>
  </conditionalFormatting>
  <conditionalFormatting sqref="F18">
    <cfRule type="cellIs" dxfId="250" priority="246" operator="greaterThan">
      <formula>0</formula>
    </cfRule>
    <cfRule type="cellIs" dxfId="249" priority="247" operator="lessThan">
      <formula>0</formula>
    </cfRule>
  </conditionalFormatting>
  <conditionalFormatting sqref="E36">
    <cfRule type="expression" dxfId="248" priority="200">
      <formula>E36&gt;C37</formula>
    </cfRule>
    <cfRule type="expression" dxfId="247" priority="201">
      <formula>E36&lt;=C37</formula>
    </cfRule>
  </conditionalFormatting>
  <conditionalFormatting sqref="I36">
    <cfRule type="cellIs" dxfId="246" priority="198" operator="greaterThan">
      <formula>0</formula>
    </cfRule>
    <cfRule type="cellIs" dxfId="245" priority="199" operator="lessThan">
      <formula>0</formula>
    </cfRule>
  </conditionalFormatting>
  <conditionalFormatting sqref="F36:F37">
    <cfRule type="cellIs" dxfId="244" priority="196" operator="greaterThan">
      <formula>0</formula>
    </cfRule>
    <cfRule type="cellIs" dxfId="243" priority="197" operator="lessThan">
      <formula>0</formula>
    </cfRule>
  </conditionalFormatting>
  <conditionalFormatting sqref="C36:D37">
    <cfRule type="cellIs" dxfId="242" priority="194" operator="greaterThan">
      <formula>0</formula>
    </cfRule>
    <cfRule type="cellIs" dxfId="241" priority="195" operator="lessThan">
      <formula>0</formula>
    </cfRule>
  </conditionalFormatting>
  <conditionalFormatting sqref="G36:G38">
    <cfRule type="cellIs" dxfId="240" priority="202" operator="greaterThan">
      <formula>0</formula>
    </cfRule>
    <cfRule type="cellIs" dxfId="239" priority="203" operator="lessThan">
      <formula>0</formula>
    </cfRule>
  </conditionalFormatting>
  <conditionalFormatting sqref="G39">
    <cfRule type="cellIs" dxfId="238" priority="192" operator="greaterThan">
      <formula>0</formula>
    </cfRule>
    <cfRule type="cellIs" dxfId="237" priority="193" operator="lessThan">
      <formula>0</formula>
    </cfRule>
  </conditionalFormatting>
  <conditionalFormatting sqref="E125">
    <cfRule type="expression" dxfId="236" priority="183">
      <formula>E125&gt;C126</formula>
    </cfRule>
    <cfRule type="expression" dxfId="235" priority="184">
      <formula>E125&lt;=C126</formula>
    </cfRule>
  </conditionalFormatting>
  <conditionalFormatting sqref="I125">
    <cfRule type="cellIs" dxfId="234" priority="181" operator="greaterThan">
      <formula>0</formula>
    </cfRule>
    <cfRule type="cellIs" dxfId="233" priority="182" operator="lessThan">
      <formula>0</formula>
    </cfRule>
  </conditionalFormatting>
  <conditionalFormatting sqref="F125:F126">
    <cfRule type="cellIs" dxfId="232" priority="179" operator="greaterThan">
      <formula>0</formula>
    </cfRule>
    <cfRule type="cellIs" dxfId="231" priority="180" operator="lessThan">
      <formula>0</formula>
    </cfRule>
  </conditionalFormatting>
  <conditionalFormatting sqref="C125:D126">
    <cfRule type="cellIs" dxfId="230" priority="177" operator="greaterThan">
      <formula>0</formula>
    </cfRule>
    <cfRule type="cellIs" dxfId="229" priority="178" operator="lessThan">
      <formula>0</formula>
    </cfRule>
  </conditionalFormatting>
  <conditionalFormatting sqref="G125:G127">
    <cfRule type="cellIs" dxfId="228" priority="185" operator="greaterThan">
      <formula>0</formula>
    </cfRule>
    <cfRule type="cellIs" dxfId="227" priority="186" operator="lessThan">
      <formula>0</formula>
    </cfRule>
  </conditionalFormatting>
  <conditionalFormatting sqref="G128">
    <cfRule type="cellIs" dxfId="226" priority="175" operator="greaterThan">
      <formula>0</formula>
    </cfRule>
    <cfRule type="cellIs" dxfId="225" priority="176" operator="lessThan">
      <formula>0</formula>
    </cfRule>
  </conditionalFormatting>
  <conditionalFormatting sqref="M125">
    <cfRule type="containsText" dxfId="224" priority="13109" operator="containsText" text="SIM">
      <formula>NOT(ISERROR(SEARCH("SIM",M125)))</formula>
    </cfRule>
    <cfRule type="containsText" dxfId="223" priority="13110" operator="containsText" text="NÃO">
      <formula>NOT(ISERROR(SEARCH("NÃO",M125)))</formula>
    </cfRule>
    <cfRule type="expression" dxfId="222" priority="13111">
      <formula>$D123:$D1037="E-CALL"</formula>
    </cfRule>
    <cfRule type="expression" dxfId="221" priority="13112">
      <formula>$D123:$D195="PUT"</formula>
    </cfRule>
    <cfRule type="expression" dxfId="220" priority="13113">
      <formula>$D123:$D195="CALL"</formula>
    </cfRule>
  </conditionalFormatting>
  <conditionalFormatting sqref="E44">
    <cfRule type="expression" dxfId="219" priority="166">
      <formula>E44&gt;C45</formula>
    </cfRule>
    <cfRule type="expression" dxfId="218" priority="167">
      <formula>E44&lt;=C45</formula>
    </cfRule>
  </conditionalFormatting>
  <conditionalFormatting sqref="I44">
    <cfRule type="cellIs" dxfId="217" priority="164" operator="greaterThan">
      <formula>0</formula>
    </cfRule>
    <cfRule type="cellIs" dxfId="216" priority="165" operator="lessThan">
      <formula>0</formula>
    </cfRule>
  </conditionalFormatting>
  <conditionalFormatting sqref="F44:F45">
    <cfRule type="cellIs" dxfId="215" priority="162" operator="greaterThan">
      <formula>0</formula>
    </cfRule>
    <cfRule type="cellIs" dxfId="214" priority="163" operator="lessThan">
      <formula>0</formula>
    </cfRule>
  </conditionalFormatting>
  <conditionalFormatting sqref="C44:D45">
    <cfRule type="cellIs" dxfId="213" priority="160" operator="greaterThan">
      <formula>0</formula>
    </cfRule>
    <cfRule type="cellIs" dxfId="212" priority="161" operator="lessThan">
      <formula>0</formula>
    </cfRule>
  </conditionalFormatting>
  <conditionalFormatting sqref="G44:G46">
    <cfRule type="cellIs" dxfId="211" priority="168" operator="greaterThan">
      <formula>0</formula>
    </cfRule>
    <cfRule type="cellIs" dxfId="210" priority="169" operator="lessThan">
      <formula>0</formula>
    </cfRule>
  </conditionalFormatting>
  <conditionalFormatting sqref="G47">
    <cfRule type="cellIs" dxfId="209" priority="158" operator="greaterThan">
      <formula>0</formula>
    </cfRule>
    <cfRule type="cellIs" dxfId="208" priority="159" operator="lessThan">
      <formula>0</formula>
    </cfRule>
  </conditionalFormatting>
  <conditionalFormatting sqref="D18">
    <cfRule type="cellIs" dxfId="207" priority="156" operator="greaterThan">
      <formula>0</formula>
    </cfRule>
    <cfRule type="cellIs" dxfId="206" priority="157" operator="lessThan">
      <formula>0</formula>
    </cfRule>
  </conditionalFormatting>
  <conditionalFormatting sqref="E53">
    <cfRule type="expression" dxfId="205" priority="145">
      <formula>E53&gt;C54</formula>
    </cfRule>
    <cfRule type="expression" dxfId="204" priority="146">
      <formula>E53&lt;=C54</formula>
    </cfRule>
  </conditionalFormatting>
  <conditionalFormatting sqref="I53">
    <cfRule type="cellIs" dxfId="203" priority="143" operator="greaterThan">
      <formula>0</formula>
    </cfRule>
    <cfRule type="cellIs" dxfId="202" priority="144" operator="lessThan">
      <formula>0</formula>
    </cfRule>
  </conditionalFormatting>
  <conditionalFormatting sqref="F53:F54">
    <cfRule type="cellIs" dxfId="201" priority="141" operator="greaterThan">
      <formula>0</formula>
    </cfRule>
    <cfRule type="cellIs" dxfId="200" priority="142" operator="lessThan">
      <formula>0</formula>
    </cfRule>
  </conditionalFormatting>
  <conditionalFormatting sqref="C53:D54">
    <cfRule type="cellIs" dxfId="199" priority="139" operator="greaterThan">
      <formula>0</formula>
    </cfRule>
    <cfRule type="cellIs" dxfId="198" priority="140" operator="lessThan">
      <formula>0</formula>
    </cfRule>
  </conditionalFormatting>
  <conditionalFormatting sqref="G53:G55">
    <cfRule type="cellIs" dxfId="197" priority="147" operator="greaterThan">
      <formula>0</formula>
    </cfRule>
    <cfRule type="cellIs" dxfId="196" priority="148" operator="lessThan">
      <formula>0</formula>
    </cfRule>
  </conditionalFormatting>
  <conditionalFormatting sqref="G56">
    <cfRule type="cellIs" dxfId="195" priority="137" operator="greaterThan">
      <formula>0</formula>
    </cfRule>
    <cfRule type="cellIs" dxfId="194" priority="138" operator="lessThan">
      <formula>0</formula>
    </cfRule>
  </conditionalFormatting>
  <conditionalFormatting sqref="I57:J57">
    <cfRule type="cellIs" dxfId="193" priority="135" operator="greaterThan">
      <formula>0</formula>
    </cfRule>
    <cfRule type="cellIs" dxfId="192" priority="136" operator="lessThan">
      <formula>0</formula>
    </cfRule>
  </conditionalFormatting>
  <conditionalFormatting sqref="E62">
    <cfRule type="expression" dxfId="191" priority="126">
      <formula>E62&gt;C63</formula>
    </cfRule>
    <cfRule type="expression" dxfId="190" priority="127">
      <formula>E62&lt;=C63</formula>
    </cfRule>
  </conditionalFormatting>
  <conditionalFormatting sqref="F62:F63">
    <cfRule type="cellIs" dxfId="189" priority="122" operator="greaterThan">
      <formula>0</formula>
    </cfRule>
    <cfRule type="cellIs" dxfId="188" priority="123" operator="lessThan">
      <formula>0</formula>
    </cfRule>
  </conditionalFormatting>
  <conditionalFormatting sqref="C62:D63">
    <cfRule type="cellIs" dxfId="187" priority="120" operator="greaterThan">
      <formula>0</formula>
    </cfRule>
    <cfRule type="cellIs" dxfId="186" priority="121" operator="lessThan">
      <formula>0</formula>
    </cfRule>
  </conditionalFormatting>
  <conditionalFormatting sqref="G62:G64">
    <cfRule type="cellIs" dxfId="185" priority="128" operator="greaterThan">
      <formula>0</formula>
    </cfRule>
    <cfRule type="cellIs" dxfId="184" priority="129" operator="lessThan">
      <formula>0</formula>
    </cfRule>
  </conditionalFormatting>
  <conditionalFormatting sqref="G65">
    <cfRule type="cellIs" dxfId="183" priority="118" operator="greaterThan">
      <formula>0</formula>
    </cfRule>
    <cfRule type="cellIs" dxfId="182" priority="119" operator="lessThan">
      <formula>0</formula>
    </cfRule>
  </conditionalFormatting>
  <conditionalFormatting sqref="J66 J68 J75">
    <cfRule type="cellIs" dxfId="181" priority="114" operator="greaterThan">
      <formula>0</formula>
    </cfRule>
    <cfRule type="cellIs" dxfId="180" priority="115" operator="lessThan">
      <formula>0</formula>
    </cfRule>
  </conditionalFormatting>
  <conditionalFormatting sqref="I66 I68 I75">
    <cfRule type="cellIs" dxfId="179" priority="112" operator="greaterThan">
      <formula>0</formula>
    </cfRule>
    <cfRule type="cellIs" dxfId="178" priority="113" operator="lessThan">
      <formula>0</formula>
    </cfRule>
  </conditionalFormatting>
  <conditionalFormatting sqref="M98">
    <cfRule type="containsText" dxfId="177" priority="13170" operator="containsText" text="SIM">
      <formula>NOT(ISERROR(SEARCH("SIM",M98)))</formula>
    </cfRule>
    <cfRule type="containsText" dxfId="176" priority="13171" operator="containsText" text="NÃO">
      <formula>NOT(ISERROR(SEARCH("NÃO",M98)))</formula>
    </cfRule>
    <cfRule type="expression" dxfId="175" priority="13172">
      <formula>$D96:$D1059="E-CALL"</formula>
    </cfRule>
    <cfRule type="expression" dxfId="174" priority="13173">
      <formula>$D96:$D217="PUT"</formula>
    </cfRule>
    <cfRule type="expression" dxfId="173" priority="13174">
      <formula>$D96:$D217="CALL"</formula>
    </cfRule>
  </conditionalFormatting>
  <conditionalFormatting sqref="E71">
    <cfRule type="expression" dxfId="172" priority="93">
      <formula>E71&gt;C72</formula>
    </cfRule>
    <cfRule type="expression" dxfId="171" priority="94">
      <formula>E71&lt;=C72</formula>
    </cfRule>
  </conditionalFormatting>
  <conditionalFormatting sqref="I71">
    <cfRule type="cellIs" dxfId="170" priority="91" operator="greaterThan">
      <formula>0</formula>
    </cfRule>
    <cfRule type="cellIs" dxfId="169" priority="92" operator="lessThan">
      <formula>0</formula>
    </cfRule>
  </conditionalFormatting>
  <conditionalFormatting sqref="F71:F72">
    <cfRule type="cellIs" dxfId="168" priority="89" operator="greaterThan">
      <formula>0</formula>
    </cfRule>
    <cfRule type="cellIs" dxfId="167" priority="90" operator="lessThan">
      <formula>0</formula>
    </cfRule>
  </conditionalFormatting>
  <conditionalFormatting sqref="C71:D72">
    <cfRule type="cellIs" dxfId="166" priority="87" operator="greaterThan">
      <formula>0</formula>
    </cfRule>
    <cfRule type="cellIs" dxfId="165" priority="88" operator="lessThan">
      <formula>0</formula>
    </cfRule>
  </conditionalFormatting>
  <conditionalFormatting sqref="G71:G73">
    <cfRule type="cellIs" dxfId="164" priority="95" operator="greaterThan">
      <formula>0</formula>
    </cfRule>
    <cfRule type="cellIs" dxfId="163" priority="96" operator="lessThan">
      <formula>0</formula>
    </cfRule>
  </conditionalFormatting>
  <conditionalFormatting sqref="G74">
    <cfRule type="cellIs" dxfId="162" priority="85" operator="greaterThan">
      <formula>0</formula>
    </cfRule>
    <cfRule type="cellIs" dxfId="161" priority="86" operator="lessThan">
      <formula>0</formula>
    </cfRule>
  </conditionalFormatting>
  <conditionalFormatting sqref="J84">
    <cfRule type="cellIs" dxfId="160" priority="83" operator="greaterThan">
      <formula>0</formula>
    </cfRule>
    <cfRule type="cellIs" dxfId="159" priority="84" operator="lessThan">
      <formula>0</formula>
    </cfRule>
  </conditionalFormatting>
  <conditionalFormatting sqref="I84">
    <cfRule type="cellIs" dxfId="158" priority="81" operator="greaterThan">
      <formula>0</formula>
    </cfRule>
    <cfRule type="cellIs" dxfId="157" priority="82" operator="lessThan">
      <formula>0</formula>
    </cfRule>
  </conditionalFormatting>
  <conditionalFormatting sqref="E80">
    <cfRule type="expression" dxfId="156" priority="72">
      <formula>E80&gt;C81</formula>
    </cfRule>
    <cfRule type="expression" dxfId="155" priority="73">
      <formula>E80&lt;=C81</formula>
    </cfRule>
  </conditionalFormatting>
  <conditionalFormatting sqref="I80">
    <cfRule type="cellIs" dxfId="154" priority="70" operator="greaterThan">
      <formula>0</formula>
    </cfRule>
    <cfRule type="cellIs" dxfId="153" priority="71" operator="lessThan">
      <formula>0</formula>
    </cfRule>
  </conditionalFormatting>
  <conditionalFormatting sqref="F80:F81">
    <cfRule type="cellIs" dxfId="152" priority="68" operator="greaterThan">
      <formula>0</formula>
    </cfRule>
    <cfRule type="cellIs" dxfId="151" priority="69" operator="lessThan">
      <formula>0</formula>
    </cfRule>
  </conditionalFormatting>
  <conditionalFormatting sqref="C80:D81">
    <cfRule type="cellIs" dxfId="150" priority="66" operator="greaterThan">
      <formula>0</formula>
    </cfRule>
    <cfRule type="cellIs" dxfId="149" priority="67" operator="lessThan">
      <formula>0</formula>
    </cfRule>
  </conditionalFormatting>
  <conditionalFormatting sqref="G80:G82">
    <cfRule type="cellIs" dxfId="148" priority="74" operator="greaterThan">
      <formula>0</formula>
    </cfRule>
    <cfRule type="cellIs" dxfId="147" priority="75" operator="lessThan">
      <formula>0</formula>
    </cfRule>
  </conditionalFormatting>
  <conditionalFormatting sqref="G83">
    <cfRule type="cellIs" dxfId="146" priority="64" operator="greaterThan">
      <formula>0</formula>
    </cfRule>
    <cfRule type="cellIs" dxfId="145" priority="65" operator="lessThan">
      <formula>0</formula>
    </cfRule>
  </conditionalFormatting>
  <conditionalFormatting sqref="I48:J48">
    <cfRule type="cellIs" dxfId="144" priority="62" operator="greaterThan">
      <formula>0</formula>
    </cfRule>
    <cfRule type="cellIs" dxfId="143" priority="63" operator="lessThan">
      <formula>0</formula>
    </cfRule>
  </conditionalFormatting>
  <conditionalFormatting sqref="I62">
    <cfRule type="cellIs" dxfId="142" priority="60" operator="greaterThan">
      <formula>0</formula>
    </cfRule>
    <cfRule type="cellIs" dxfId="141" priority="61" operator="lessThan">
      <formula>0</formula>
    </cfRule>
  </conditionalFormatting>
  <conditionalFormatting sqref="J93">
    <cfRule type="cellIs" dxfId="140" priority="58" operator="greaterThan">
      <formula>0</formula>
    </cfRule>
    <cfRule type="cellIs" dxfId="139" priority="59" operator="lessThan">
      <formula>0</formula>
    </cfRule>
  </conditionalFormatting>
  <conditionalFormatting sqref="I93">
    <cfRule type="cellIs" dxfId="138" priority="56" operator="greaterThan">
      <formula>0</formula>
    </cfRule>
    <cfRule type="cellIs" dxfId="137" priority="57" operator="lessThan">
      <formula>0</formula>
    </cfRule>
  </conditionalFormatting>
  <conditionalFormatting sqref="E89">
    <cfRule type="expression" dxfId="136" priority="47">
      <formula>E89&gt;C90</formula>
    </cfRule>
    <cfRule type="expression" dxfId="135" priority="48">
      <formula>E89&lt;=C90</formula>
    </cfRule>
  </conditionalFormatting>
  <conditionalFormatting sqref="I89">
    <cfRule type="cellIs" dxfId="134" priority="45" operator="greaterThan">
      <formula>0</formula>
    </cfRule>
    <cfRule type="cellIs" dxfId="133" priority="46" operator="lessThan">
      <formula>0</formula>
    </cfRule>
  </conditionalFormatting>
  <conditionalFormatting sqref="F89:F90">
    <cfRule type="cellIs" dxfId="132" priority="43" operator="greaterThan">
      <formula>0</formula>
    </cfRule>
    <cfRule type="cellIs" dxfId="131" priority="44" operator="lessThan">
      <formula>0</formula>
    </cfRule>
  </conditionalFormatting>
  <conditionalFormatting sqref="C89:D90">
    <cfRule type="cellIs" dxfId="130" priority="41" operator="greaterThan">
      <formula>0</formula>
    </cfRule>
    <cfRule type="cellIs" dxfId="129" priority="42" operator="lessThan">
      <formula>0</formula>
    </cfRule>
  </conditionalFormatting>
  <conditionalFormatting sqref="G89:G91">
    <cfRule type="cellIs" dxfId="128" priority="49" operator="greaterThan">
      <formula>0</formula>
    </cfRule>
    <cfRule type="cellIs" dxfId="127" priority="50" operator="lessThan">
      <formula>0</formula>
    </cfRule>
  </conditionalFormatting>
  <conditionalFormatting sqref="G92">
    <cfRule type="cellIs" dxfId="126" priority="39" operator="greaterThan">
      <formula>0</formula>
    </cfRule>
    <cfRule type="cellIs" dxfId="125" priority="40" operator="lessThan">
      <formula>0</formula>
    </cfRule>
  </conditionalFormatting>
  <conditionalFormatting sqref="J102">
    <cfRule type="cellIs" dxfId="124" priority="37" operator="greaterThan">
      <formula>0</formula>
    </cfRule>
    <cfRule type="cellIs" dxfId="123" priority="38" operator="lessThan">
      <formula>0</formula>
    </cfRule>
  </conditionalFormatting>
  <conditionalFormatting sqref="I102">
    <cfRule type="cellIs" dxfId="122" priority="35" operator="greaterThan">
      <formula>0</formula>
    </cfRule>
    <cfRule type="cellIs" dxfId="121" priority="36" operator="lessThan">
      <formula>0</formula>
    </cfRule>
  </conditionalFormatting>
  <conditionalFormatting sqref="E98">
    <cfRule type="expression" dxfId="120" priority="26">
      <formula>E98&gt;C99</formula>
    </cfRule>
    <cfRule type="expression" dxfId="119" priority="27">
      <formula>E98&lt;=C99</formula>
    </cfRule>
  </conditionalFormatting>
  <conditionalFormatting sqref="I98">
    <cfRule type="cellIs" dxfId="118" priority="24" operator="greaterThan">
      <formula>0</formula>
    </cfRule>
    <cfRule type="cellIs" dxfId="117" priority="25" operator="lessThan">
      <formula>0</formula>
    </cfRule>
  </conditionalFormatting>
  <conditionalFormatting sqref="F98:F99">
    <cfRule type="cellIs" dxfId="116" priority="22" operator="greaterThan">
      <formula>0</formula>
    </cfRule>
    <cfRule type="cellIs" dxfId="115" priority="23" operator="lessThan">
      <formula>0</formula>
    </cfRule>
  </conditionalFormatting>
  <conditionalFormatting sqref="C98:D99">
    <cfRule type="cellIs" dxfId="114" priority="20" operator="greaterThan">
      <formula>0</formula>
    </cfRule>
    <cfRule type="cellIs" dxfId="113" priority="21" operator="lessThan">
      <formula>0</formula>
    </cfRule>
  </conditionalFormatting>
  <conditionalFormatting sqref="G98:G100">
    <cfRule type="cellIs" dxfId="112" priority="28" operator="greaterThan">
      <formula>0</formula>
    </cfRule>
    <cfRule type="cellIs" dxfId="111" priority="29" operator="lessThan">
      <formula>0</formula>
    </cfRule>
  </conditionalFormatting>
  <conditionalFormatting sqref="G101">
    <cfRule type="cellIs" dxfId="110" priority="18" operator="greaterThan">
      <formula>0</formula>
    </cfRule>
    <cfRule type="cellIs" dxfId="109" priority="19" operator="lessThan">
      <formula>0</formula>
    </cfRule>
  </conditionalFormatting>
  <conditionalFormatting sqref="E134">
    <cfRule type="expression" dxfId="108" priority="9">
      <formula>E134&gt;C135</formula>
    </cfRule>
    <cfRule type="expression" dxfId="107" priority="10">
      <formula>E134&lt;=C135</formula>
    </cfRule>
  </conditionalFormatting>
  <conditionalFormatting sqref="I134">
    <cfRule type="cellIs" dxfId="106" priority="7" operator="greaterThan">
      <formula>0</formula>
    </cfRule>
    <cfRule type="cellIs" dxfId="105" priority="8" operator="lessThan">
      <formula>0</formula>
    </cfRule>
  </conditionalFormatting>
  <conditionalFormatting sqref="F134:F135">
    <cfRule type="cellIs" dxfId="104" priority="5" operator="greaterThan">
      <formula>0</formula>
    </cfRule>
    <cfRule type="cellIs" dxfId="103" priority="6" operator="lessThan">
      <formula>0</formula>
    </cfRule>
  </conditionalFormatting>
  <conditionalFormatting sqref="C134:D135">
    <cfRule type="cellIs" dxfId="102" priority="3" operator="greaterThan">
      <formula>0</formula>
    </cfRule>
    <cfRule type="cellIs" dxfId="101" priority="4" operator="lessThan">
      <formula>0</formula>
    </cfRule>
  </conditionalFormatting>
  <conditionalFormatting sqref="G134:G136">
    <cfRule type="cellIs" dxfId="100" priority="11" operator="greaterThan">
      <formula>0</formula>
    </cfRule>
    <cfRule type="cellIs" dxfId="99" priority="12" operator="lessThan">
      <formula>0</formula>
    </cfRule>
  </conditionalFormatting>
  <conditionalFormatting sqref="G137">
    <cfRule type="cellIs" dxfId="98" priority="1" operator="greaterThan">
      <formula>0</formula>
    </cfRule>
    <cfRule type="cellIs" dxfId="97" priority="2" operator="lessThan">
      <formula>0</formula>
    </cfRule>
  </conditionalFormatting>
  <conditionalFormatting sqref="M134">
    <cfRule type="containsText" dxfId="96" priority="13" operator="containsText" text="SIM">
      <formula>NOT(ISERROR(SEARCH("SIM",M134)))</formula>
    </cfRule>
    <cfRule type="containsText" dxfId="95" priority="14" operator="containsText" text="NÃO">
      <formula>NOT(ISERROR(SEARCH("NÃO",M134)))</formula>
    </cfRule>
    <cfRule type="expression" dxfId="94" priority="15">
      <formula>$D132:$D1046="E-CALL"</formula>
    </cfRule>
    <cfRule type="expression" dxfId="93" priority="16">
      <formula>$D132:$D204="PUT"</formula>
    </cfRule>
    <cfRule type="expression" dxfId="92" priority="17">
      <formula>$D132:$D204="CALL"</formula>
    </cfRule>
  </conditionalFormatting>
  <conditionalFormatting sqref="M53 M62 M44 M71 M80">
    <cfRule type="containsText" dxfId="91" priority="13240" operator="containsText" text="SIM">
      <formula>NOT(ISERROR(SEARCH("SIM",M44)))</formula>
    </cfRule>
    <cfRule type="containsText" dxfId="90" priority="13241" operator="containsText" text="NÃO">
      <formula>NOT(ISERROR(SEARCH("NÃO",M44)))</formula>
    </cfRule>
    <cfRule type="expression" dxfId="89" priority="13242">
      <formula>$D42:$D1002="E-CALL"</formula>
    </cfRule>
    <cfRule type="expression" dxfId="88" priority="13243">
      <formula>$D42:$D160="PUT"</formula>
    </cfRule>
    <cfRule type="expression" dxfId="87" priority="13244">
      <formula>$D42:$D160="CALL"</formula>
    </cfRule>
  </conditionalFormatting>
  <conditionalFormatting sqref="M36">
    <cfRule type="containsText" dxfId="86" priority="13306" operator="containsText" text="SIM">
      <formula>NOT(ISERROR(SEARCH("SIM",M36)))</formula>
    </cfRule>
    <cfRule type="containsText" dxfId="85" priority="13307" operator="containsText" text="NÃO">
      <formula>NOT(ISERROR(SEARCH("NÃO",M36)))</formula>
    </cfRule>
    <cfRule type="expression" dxfId="84" priority="13308">
      <formula>$D34:$D993="E-CALL"</formula>
    </cfRule>
    <cfRule type="expression" dxfId="83" priority="13309">
      <formula>$D34:$D151="PUT"</formula>
    </cfRule>
    <cfRule type="expression" dxfId="82" priority="13310">
      <formula>$D34:$D151="CALL"</formula>
    </cfRule>
  </conditionalFormatting>
  <conditionalFormatting sqref="M89">
    <cfRule type="containsText" dxfId="81" priority="13311" operator="containsText" text="SIM">
      <formula>NOT(ISERROR(SEARCH("SIM",M89)))</formula>
    </cfRule>
    <cfRule type="containsText" dxfId="80" priority="13312" operator="containsText" text="NÃO">
      <formula>NOT(ISERROR(SEARCH("NÃO",M89)))</formula>
    </cfRule>
    <cfRule type="expression" dxfId="79" priority="13313">
      <formula>$D87:$D1049="E-CALL"</formula>
    </cfRule>
    <cfRule type="expression" dxfId="78" priority="13314">
      <formula>$D87:$D207="PUT"</formula>
    </cfRule>
    <cfRule type="expression" dxfId="77" priority="13315">
      <formula>$D87:$D207="CALL"</formula>
    </cfRule>
  </conditionalFormatting>
  <conditionalFormatting sqref="M28">
    <cfRule type="containsText" dxfId="76" priority="13346" operator="containsText" text="SIM">
      <formula>NOT(ISERROR(SEARCH("SIM",M28)))</formula>
    </cfRule>
    <cfRule type="containsText" dxfId="75" priority="13347" operator="containsText" text="NÃO">
      <formula>NOT(ISERROR(SEARCH("NÃO",M28)))</formula>
    </cfRule>
    <cfRule type="expression" dxfId="74" priority="13348">
      <formula>$D26:$D984="E-CALL"</formula>
    </cfRule>
    <cfRule type="expression" dxfId="73" priority="13349">
      <formula>$D26:$D142="PUT"</formula>
    </cfRule>
    <cfRule type="expression" dxfId="72" priority="13350">
      <formula>$D26:$D142="CALL"</formula>
    </cfRule>
  </conditionalFormatting>
  <dataValidations count="2">
    <dataValidation type="list" allowBlank="1" showInputMessage="1" showErrorMessage="1" sqref="A108 A25 A28 A36 A125 A44 A53 A62 A71 A80 A89 A98 A134" xr:uid="{00000000-0002-0000-0300-000000000000}">
      <formula1>"Compra,Venda"</formula1>
    </dataValidation>
    <dataValidation type="list" allowBlank="1" sqref="A109" xr:uid="{00000000-0002-0000-0300-000001000000}">
      <formula1>"PUT,CALL,E-PUT,E-CALL"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7"/>
  <dimension ref="A1:P44"/>
  <sheetViews>
    <sheetView zoomScale="80" zoomScaleNormal="80" workbookViewId="0">
      <selection activeCell="E6" sqref="E6:E7"/>
    </sheetView>
  </sheetViews>
  <sheetFormatPr defaultColWidth="9.140625" defaultRowHeight="21.75" customHeight="1" x14ac:dyDescent="0.2"/>
  <cols>
    <col min="1" max="1" width="22.85546875" style="96" bestFit="1" customWidth="1"/>
    <col min="2" max="2" width="21.28515625" style="96" customWidth="1"/>
    <col min="3" max="3" width="15.7109375" style="96" bestFit="1" customWidth="1"/>
    <col min="4" max="4" width="16.7109375" style="96" bestFit="1" customWidth="1"/>
    <col min="5" max="5" width="16.42578125" style="96" bestFit="1" customWidth="1"/>
    <col min="6" max="6" width="21.42578125" style="96" bestFit="1" customWidth="1"/>
    <col min="7" max="7" width="19.85546875" style="96" bestFit="1" customWidth="1"/>
    <col min="8" max="8" width="21.42578125" style="96" bestFit="1" customWidth="1"/>
    <col min="9" max="9" width="20.140625" style="96" bestFit="1" customWidth="1"/>
    <col min="10" max="10" width="23" style="96" customWidth="1"/>
    <col min="11" max="11" width="18.85546875" style="96" bestFit="1" customWidth="1"/>
    <col min="12" max="12" width="18.28515625" style="96" bestFit="1" customWidth="1"/>
    <col min="13" max="13" width="16.140625" style="96" bestFit="1" customWidth="1"/>
    <col min="14" max="14" width="13.28515625" style="96" customWidth="1"/>
    <col min="15" max="15" width="13" style="96" customWidth="1"/>
    <col min="16" max="17" width="9.140625" style="96"/>
    <col min="18" max="18" width="21.42578125" style="96" customWidth="1"/>
    <col min="19" max="16384" width="9.140625" style="96"/>
  </cols>
  <sheetData>
    <row r="1" spans="1:15" ht="21.75" customHeight="1" x14ac:dyDescent="0.2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5" s="97" customFormat="1" ht="21.75" customHeight="1" x14ac:dyDescent="0.25">
      <c r="A2" s="477" t="s">
        <v>49</v>
      </c>
      <c r="B2" s="478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9"/>
    </row>
    <row r="3" spans="1:15" s="97" customFormat="1" ht="21.75" customHeight="1" x14ac:dyDescent="0.25">
      <c r="C3" s="104"/>
      <c r="D3" s="104"/>
      <c r="E3" s="104"/>
      <c r="F3" s="104"/>
      <c r="G3" s="104"/>
    </row>
    <row r="4" spans="1:15" s="97" customFormat="1" ht="21.75" customHeight="1" x14ac:dyDescent="0.25">
      <c r="A4" s="250" t="s">
        <v>152</v>
      </c>
      <c r="B4" s="102" t="str">
        <f>IF(A4&lt;&gt;"",CONCATENATE(A6, " - ",A7),"")</f>
        <v>Venda - CALL</v>
      </c>
      <c r="C4" s="234"/>
      <c r="D4" s="234"/>
      <c r="E4" s="237"/>
      <c r="F4" s="236"/>
      <c r="G4" s="234"/>
      <c r="H4" s="234"/>
      <c r="I4" s="234"/>
      <c r="J4" s="234"/>
      <c r="K4" s="234"/>
      <c r="L4" s="249"/>
    </row>
    <row r="5" spans="1:15" s="97" customFormat="1" ht="21.75" customHeight="1" x14ac:dyDescent="0.25">
      <c r="A5" s="102" t="s">
        <v>88</v>
      </c>
      <c r="B5" s="102" t="s">
        <v>112</v>
      </c>
      <c r="C5" s="102" t="s">
        <v>86</v>
      </c>
      <c r="D5" s="102" t="s">
        <v>40</v>
      </c>
      <c r="E5" s="102" t="s">
        <v>41</v>
      </c>
      <c r="F5" s="102" t="s">
        <v>42</v>
      </c>
      <c r="G5" s="102" t="s">
        <v>43</v>
      </c>
      <c r="H5" s="102" t="s">
        <v>34</v>
      </c>
      <c r="I5" s="103" t="s">
        <v>46</v>
      </c>
      <c r="J5" s="103" t="s">
        <v>135</v>
      </c>
      <c r="K5" s="103" t="s">
        <v>47</v>
      </c>
      <c r="L5" s="103" t="s">
        <v>58</v>
      </c>
    </row>
    <row r="6" spans="1:15" s="97" customFormat="1" ht="21.75" customHeight="1" x14ac:dyDescent="0.25">
      <c r="A6" s="176" t="s">
        <v>49</v>
      </c>
      <c r="B6" s="189" t="s">
        <v>113</v>
      </c>
      <c r="C6" s="179">
        <v>37.53</v>
      </c>
      <c r="D6" s="179">
        <v>0.23</v>
      </c>
      <c r="E6" s="368" t="str">
        <f>IF(A4&lt;&gt;"",ObterCotacao(A4, "strike"),0)</f>
        <v xml:space="preserve">Erro: Operação anulada_x000D_
</v>
      </c>
      <c r="F6" s="180" t="e">
        <f>IF(A4&lt;&gt;"",ABS(C6-E6)/C6,0)</f>
        <v>#VALUE!</v>
      </c>
      <c r="G6" s="179">
        <f>H6*D6</f>
        <v>621</v>
      </c>
      <c r="H6" s="370">
        <v>2700</v>
      </c>
      <c r="I6" s="372" t="e">
        <f>IF(A4&lt;&gt;"",G8/G6,0)</f>
        <v>#VALUE!</v>
      </c>
      <c r="J6" s="374" t="str">
        <f>ObterCotacao(A4, "due_date")</f>
        <v xml:space="preserve">Erro: Operação anulada_x000D_
</v>
      </c>
      <c r="K6" s="375" t="str">
        <f>IF(A4&lt;&gt;"",ObterCotacao(A4, "days_to_maturity"),"")</f>
        <v xml:space="preserve">Erro: Operação anulada_x000D_
</v>
      </c>
      <c r="L6" s="361" t="str">
        <f>IF(A4&lt;&gt;"",IF(A7="CALL",(IF(C7&gt;=E6,"SIM","NÃO")),IF(A7="PUT",(IF(C7&lt;E6,"SIM","NÃO")),"FECHADO")),"")</f>
        <v>NÃO</v>
      </c>
    </row>
    <row r="7" spans="1:15" s="97" customFormat="1" ht="21.75" customHeight="1" x14ac:dyDescent="0.25">
      <c r="A7" s="231" t="str">
        <f>IF(AND(MID(A4,5,1)&gt;="M",MID(A4,5,1)&lt;="X"),"PUT","CALL")</f>
        <v>CALL</v>
      </c>
      <c r="B7" s="189" t="s">
        <v>114</v>
      </c>
      <c r="C7" s="179">
        <f>ObterCotacao("PETR4", "close",TRUE)</f>
        <v>38.14</v>
      </c>
      <c r="D7" s="179" t="str">
        <f>IF(A4&lt;&gt;"",ObterCotacao(A4, "close"),0)</f>
        <v xml:space="preserve">Erro: Operação anulada_x000D_
</v>
      </c>
      <c r="E7" s="369"/>
      <c r="F7" s="180" t="e">
        <f>IF(A4&lt;&gt;"",ABS(C7-E6)/C7,0)</f>
        <v>#VALUE!</v>
      </c>
      <c r="G7" s="179" t="e">
        <f>D7*H6*-1</f>
        <v>#VALUE!</v>
      </c>
      <c r="H7" s="371"/>
      <c r="I7" s="373"/>
      <c r="J7" s="371"/>
      <c r="K7" s="375"/>
      <c r="L7" s="361"/>
    </row>
    <row r="8" spans="1:15" s="97" customFormat="1" ht="21.75" customHeight="1" x14ac:dyDescent="0.25">
      <c r="A8" s="176" t="s">
        <v>53</v>
      </c>
      <c r="B8" s="362" t="s">
        <v>54</v>
      </c>
      <c r="C8" s="363"/>
      <c r="D8" s="104"/>
      <c r="E8" s="364" t="s">
        <v>51</v>
      </c>
      <c r="F8" s="365"/>
      <c r="G8" s="179" t="e">
        <f>G6+G7</f>
        <v>#VALUE!</v>
      </c>
    </row>
    <row r="9" spans="1:15" s="97" customFormat="1" ht="21.75" customHeight="1" x14ac:dyDescent="0.25">
      <c r="A9" s="165">
        <v>107974.2</v>
      </c>
      <c r="B9" s="166">
        <f>G6/A9</f>
        <v>5.7513739393299512E-3</v>
      </c>
      <c r="C9" s="165">
        <f>A9+G6</f>
        <v>108595.2</v>
      </c>
      <c r="D9" s="104"/>
      <c r="E9" s="366" t="s">
        <v>58</v>
      </c>
      <c r="F9" s="367" t="e">
        <f>E6*H6</f>
        <v>#VALUE!</v>
      </c>
      <c r="G9" s="472">
        <f>B9</f>
        <v>5.7513739393299512E-3</v>
      </c>
      <c r="I9" s="379" t="s">
        <v>140</v>
      </c>
      <c r="J9" s="380"/>
    </row>
    <row r="10" spans="1:15" s="97" customFormat="1" ht="21.75" customHeight="1" x14ac:dyDescent="0.25">
      <c r="A10" s="181"/>
      <c r="B10" s="181"/>
      <c r="C10" s="181"/>
      <c r="D10" s="181"/>
      <c r="E10" s="366"/>
      <c r="F10" s="367"/>
      <c r="G10" s="472"/>
      <c r="H10" s="108"/>
      <c r="I10" s="472">
        <f>B9</f>
        <v>5.7513739393299512E-3</v>
      </c>
      <c r="J10" s="473">
        <f>G6</f>
        <v>621</v>
      </c>
    </row>
    <row r="11" spans="1:15" s="97" customFormat="1" ht="21.75" customHeight="1" x14ac:dyDescent="0.25">
      <c r="A11" s="181"/>
      <c r="B11" s="181"/>
      <c r="C11" s="181"/>
      <c r="D11" s="181"/>
      <c r="E11" s="247"/>
      <c r="F11" s="181"/>
      <c r="G11" s="239"/>
      <c r="H11" s="108"/>
      <c r="I11" s="472"/>
      <c r="J11" s="473"/>
    </row>
    <row r="12" spans="1:15" s="97" customFormat="1" ht="21.75" customHeight="1" x14ac:dyDescent="0.25">
      <c r="A12" s="181"/>
      <c r="B12" s="181"/>
      <c r="C12" s="181"/>
      <c r="D12" s="181"/>
      <c r="E12" s="247"/>
      <c r="F12" s="181"/>
      <c r="G12" s="239"/>
      <c r="H12" s="108"/>
      <c r="I12" s="239"/>
      <c r="J12" s="242"/>
    </row>
    <row r="13" spans="1:15" s="97" customFormat="1" ht="21.75" customHeight="1" x14ac:dyDescent="0.25">
      <c r="A13" s="250" t="s">
        <v>154</v>
      </c>
      <c r="B13" s="231" t="s">
        <v>50</v>
      </c>
      <c r="C13" s="255">
        <v>118130.26</v>
      </c>
      <c r="D13" s="215">
        <v>1.3101</v>
      </c>
      <c r="E13" s="254">
        <v>117500</v>
      </c>
      <c r="F13" s="215">
        <f>IF(A13&lt;&gt;"",ABS(C13-E13)/C13,0)</f>
        <v>5.3352968155660945E-3</v>
      </c>
      <c r="G13" s="212">
        <v>1</v>
      </c>
      <c r="H13" s="252">
        <v>1.1000000000000001E-3</v>
      </c>
      <c r="I13" s="256">
        <f>H13*C13</f>
        <v>129.943286</v>
      </c>
      <c r="J13" s="257">
        <f>(D13/365)*G13*H13</f>
        <v>3.9482465753424662E-6</v>
      </c>
      <c r="K13" s="258">
        <f>J13*C13</f>
        <v>0.46640739448931512</v>
      </c>
      <c r="L13" s="257">
        <f>H13+J13</f>
        <v>1.1039482465753426E-3</v>
      </c>
      <c r="M13" s="253">
        <v>45860</v>
      </c>
      <c r="N13" s="212">
        <f ca="1">IF(M13-TODAY()&lt;1,0,M13-TODAY())</f>
        <v>0</v>
      </c>
      <c r="O13" s="177" t="str">
        <f>IF(A13&lt;&gt;"",IF(B13="CALL",(IF(C13&gt;=E13,"SIM","NÃO")),IF(B13="PUT",(IF(C13&lt;E13,"SIM","NÃO")),"FECHADO")),"")</f>
        <v>NÃO</v>
      </c>
    </row>
    <row r="14" spans="1:15" s="97" customFormat="1" ht="21.75" customHeight="1" x14ac:dyDescent="0.25">
      <c r="A14" s="181"/>
      <c r="B14" s="181"/>
      <c r="C14" s="181"/>
      <c r="D14" s="181"/>
      <c r="E14" s="181"/>
      <c r="F14" s="142"/>
      <c r="G14" s="239"/>
      <c r="H14" s="108"/>
      <c r="I14" s="239"/>
      <c r="J14" s="242"/>
    </row>
    <row r="15" spans="1:15" s="97" customFormat="1" ht="21.75" customHeight="1" x14ac:dyDescent="0.25">
      <c r="C15" s="104"/>
      <c r="D15" s="104"/>
      <c r="E15" s="104"/>
      <c r="F15" s="104"/>
      <c r="G15" s="104"/>
    </row>
    <row r="16" spans="1:15" s="97" customFormat="1" ht="21.75" customHeight="1" x14ac:dyDescent="0.25">
      <c r="A16" s="147"/>
      <c r="B16" s="147"/>
      <c r="C16" s="163"/>
      <c r="D16" s="147"/>
      <c r="E16" s="152"/>
      <c r="G16" s="148"/>
      <c r="H16" s="148"/>
      <c r="I16" s="148"/>
      <c r="J16" s="148"/>
      <c r="K16" s="148"/>
      <c r="L16" s="148"/>
      <c r="M16" s="148"/>
    </row>
    <row r="17" spans="1:16" ht="21.75" customHeight="1" x14ac:dyDescent="0.2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97"/>
    </row>
    <row r="18" spans="1:16" ht="21.75" customHeight="1" x14ac:dyDescent="0.2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</row>
    <row r="19" spans="1:16" s="97" customFormat="1" ht="21.75" customHeight="1" x14ac:dyDescent="0.25">
      <c r="A19" s="11" t="s">
        <v>21</v>
      </c>
      <c r="B19" s="497" t="s">
        <v>63</v>
      </c>
      <c r="C19" s="498"/>
      <c r="D19" s="498"/>
      <c r="E19" s="498"/>
      <c r="F19" s="498"/>
      <c r="G19" s="498"/>
      <c r="H19" s="498"/>
      <c r="I19" s="499"/>
      <c r="J19" s="99" t="s">
        <v>34</v>
      </c>
      <c r="K19" s="100">
        <v>3000</v>
      </c>
      <c r="L19" s="99" t="s">
        <v>35</v>
      </c>
      <c r="M19" s="101" t="e">
        <f>RTD("tryd.rtdserver",,"COT",A22,"Expir")</f>
        <v>#N/A</v>
      </c>
    </row>
    <row r="20" spans="1:16" s="97" customFormat="1" ht="21.75" customHeight="1" x14ac:dyDescent="0.25">
      <c r="A20" s="103" t="s">
        <v>36</v>
      </c>
      <c r="B20" s="103" t="s">
        <v>37</v>
      </c>
      <c r="C20" s="102" t="s">
        <v>38</v>
      </c>
      <c r="D20" s="103" t="s">
        <v>39</v>
      </c>
      <c r="E20" s="103" t="s">
        <v>40</v>
      </c>
      <c r="F20" s="103" t="s">
        <v>41</v>
      </c>
      <c r="G20" s="103" t="s">
        <v>42</v>
      </c>
      <c r="H20" s="103" t="s">
        <v>43</v>
      </c>
      <c r="I20" s="103" t="s">
        <v>44</v>
      </c>
      <c r="J20" s="103" t="s">
        <v>45</v>
      </c>
      <c r="K20" s="110" t="s">
        <v>64</v>
      </c>
      <c r="L20" s="85" t="s">
        <v>47</v>
      </c>
      <c r="M20" s="86" t="s">
        <v>48</v>
      </c>
      <c r="P20" s="108"/>
    </row>
    <row r="21" spans="1:16" s="97" customFormat="1" ht="21.75" customHeight="1" x14ac:dyDescent="0.25">
      <c r="A21" s="87" t="s">
        <v>103</v>
      </c>
      <c r="B21" s="18" t="s">
        <v>59</v>
      </c>
      <c r="C21" s="505" t="s">
        <v>50</v>
      </c>
      <c r="D21" s="10" t="e">
        <f>RTD("tryd.rtdserver",,"COT",$A19,"Ult")</f>
        <v>#N/A</v>
      </c>
      <c r="E21" s="10" t="e">
        <f>RTD("tryd.rtdserver",,"COT",$A21,"Ult")</f>
        <v>#N/A</v>
      </c>
      <c r="F21" s="88" t="e">
        <f>RTD("tryd.rtdserver",,"COT",A21,"Exerc")</f>
        <v>#N/A</v>
      </c>
      <c r="G21" s="89" t="e">
        <f>ABS(D21-F21)/D21</f>
        <v>#N/A</v>
      </c>
      <c r="H21" s="90" t="e">
        <f>E21*K19*-1</f>
        <v>#N/A</v>
      </c>
      <c r="I21" s="509" t="e">
        <f>IF(H21 &lt;&gt; 0, H21+H22, 0)</f>
        <v>#N/A</v>
      </c>
      <c r="J21" s="111" t="e">
        <f>F21*K19</f>
        <v>#N/A</v>
      </c>
      <c r="K21" s="511" t="e">
        <f>I21/1540</f>
        <v>#N/A</v>
      </c>
      <c r="L21" s="495" t="e">
        <f>RTD("tryd.rtdserver",,"COT",A22,"DiasExpir")</f>
        <v>#N/A</v>
      </c>
      <c r="M21" s="495" t="e">
        <f>RTD("tryd.rtdserver",,"COT",A22,"DiaUtExp")</f>
        <v>#N/A</v>
      </c>
    </row>
    <row r="22" spans="1:16" s="97" customFormat="1" ht="21.75" customHeight="1" x14ac:dyDescent="0.25">
      <c r="A22" s="91" t="s">
        <v>105</v>
      </c>
      <c r="B22" s="18" t="s">
        <v>49</v>
      </c>
      <c r="C22" s="506"/>
      <c r="D22" s="92" t="e">
        <f>RTD("tryd.rtdserver",,"COT",$A19,"Ult")</f>
        <v>#N/A</v>
      </c>
      <c r="E22" s="10" t="e">
        <f>RTD("tryd.rtdserver",,"COT",$A22,"Ult")</f>
        <v>#N/A</v>
      </c>
      <c r="F22" s="88" t="e">
        <f>RTD("tryd.rtdserver",,"COT",A22,"Exerc")</f>
        <v>#N/A</v>
      </c>
      <c r="G22" s="89" t="e">
        <f>ABS(D22-F22)/D22</f>
        <v>#N/A</v>
      </c>
      <c r="H22" s="90" t="e">
        <f>E22*K19</f>
        <v>#N/A</v>
      </c>
      <c r="I22" s="510"/>
      <c r="J22" s="112" t="e">
        <f>F22*K19</f>
        <v>#N/A</v>
      </c>
      <c r="K22" s="512"/>
      <c r="L22" s="496"/>
      <c r="M22" s="496"/>
    </row>
    <row r="23" spans="1:16" s="97" customFormat="1" ht="21.75" customHeight="1" x14ac:dyDescent="0.25">
      <c r="A23" s="500" t="s">
        <v>65</v>
      </c>
      <c r="B23" s="501"/>
      <c r="C23" s="502"/>
      <c r="D23" s="93" t="e">
        <f>F22-F21</f>
        <v>#N/A</v>
      </c>
      <c r="E23" s="94" t="e">
        <f>IF(F21&gt;0, D23/F21, 0)</f>
        <v>#N/A</v>
      </c>
      <c r="F23" s="503" t="s">
        <v>55</v>
      </c>
      <c r="G23" s="504"/>
      <c r="H23" s="13" t="e">
        <f>K19*F22</f>
        <v>#N/A</v>
      </c>
      <c r="I23" s="13" t="e">
        <f>H23+I21</f>
        <v>#N/A</v>
      </c>
      <c r="J23" s="13"/>
      <c r="K23" s="95" t="e">
        <f>IF(I21&gt;0,I21/I23,0)</f>
        <v>#N/A</v>
      </c>
    </row>
    <row r="24" spans="1:16" s="97" customFormat="1" ht="21.75" customHeight="1" x14ac:dyDescent="0.25">
      <c r="F24" s="507" t="s">
        <v>56</v>
      </c>
      <c r="G24" s="508"/>
      <c r="H24" s="106" t="e">
        <f>K19*D22</f>
        <v>#N/A</v>
      </c>
      <c r="I24" s="106" t="e">
        <f>H24+I21</f>
        <v>#N/A</v>
      </c>
      <c r="J24" s="106"/>
      <c r="K24" s="14" t="e">
        <f>I21/I24</f>
        <v>#N/A</v>
      </c>
    </row>
    <row r="25" spans="1:16" s="97" customFormat="1" ht="21.75" customHeight="1" x14ac:dyDescent="0.25"/>
    <row r="26" spans="1:16" ht="21.75" customHeight="1" x14ac:dyDescent="0.2">
      <c r="A26" s="113"/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</row>
    <row r="28" spans="1:16" ht="21.75" customHeight="1" x14ac:dyDescent="0.2">
      <c r="A28" s="101" t="s">
        <v>21</v>
      </c>
      <c r="B28" s="426" t="s">
        <v>68</v>
      </c>
      <c r="C28" s="427"/>
      <c r="D28" s="427"/>
      <c r="E28" s="427"/>
      <c r="F28" s="427"/>
      <c r="G28" s="427"/>
      <c r="H28" s="428"/>
      <c r="I28" s="99" t="s">
        <v>35</v>
      </c>
      <c r="J28" s="101" t="e">
        <f>RTD("tryd.rtdserver",,"COT",A30,"Expir")</f>
        <v>#N/A</v>
      </c>
      <c r="K28" s="45" t="s">
        <v>34</v>
      </c>
      <c r="L28" s="46">
        <v>500</v>
      </c>
    </row>
    <row r="29" spans="1:16" ht="21.75" customHeight="1" x14ac:dyDescent="0.25">
      <c r="A29" s="143" t="s">
        <v>36</v>
      </c>
      <c r="B29" s="144" t="s">
        <v>37</v>
      </c>
      <c r="C29" s="143" t="s">
        <v>39</v>
      </c>
      <c r="D29" s="143" t="s">
        <v>40</v>
      </c>
      <c r="E29" s="143" t="s">
        <v>41</v>
      </c>
      <c r="F29" s="143" t="s">
        <v>42</v>
      </c>
      <c r="G29" s="143" t="s">
        <v>43</v>
      </c>
      <c r="H29" s="145" t="s">
        <v>57</v>
      </c>
      <c r="I29" s="146" t="s">
        <v>77</v>
      </c>
      <c r="J29" s="146" t="s">
        <v>78</v>
      </c>
      <c r="K29" s="396" t="s">
        <v>35</v>
      </c>
      <c r="L29" s="397"/>
    </row>
    <row r="30" spans="1:16" ht="21.75" customHeight="1" x14ac:dyDescent="0.25">
      <c r="A30" s="424" t="s">
        <v>106</v>
      </c>
      <c r="B30" s="75" t="s">
        <v>60</v>
      </c>
      <c r="C30" s="150">
        <v>35.840000000000003</v>
      </c>
      <c r="D30" s="77">
        <v>0.91</v>
      </c>
      <c r="E30" s="422">
        <v>38.450000000000003</v>
      </c>
      <c r="F30" s="78">
        <f>ABS(C30-E30)/C30</f>
        <v>7.2823660714285698E-2</v>
      </c>
      <c r="G30" s="79">
        <f>D30*L28*-1</f>
        <v>-455</v>
      </c>
      <c r="H30" s="410">
        <f>(G32/G30)*-1</f>
        <v>3.2857142857142856</v>
      </c>
      <c r="I30" s="493">
        <f>E30-C31</f>
        <v>33.82</v>
      </c>
      <c r="J30" s="493">
        <f>D31-I30</f>
        <v>-29.92</v>
      </c>
      <c r="K30" s="80" t="s">
        <v>47</v>
      </c>
      <c r="L30" s="80" t="s">
        <v>48</v>
      </c>
    </row>
    <row r="31" spans="1:16" ht="21.75" customHeight="1" x14ac:dyDescent="0.25">
      <c r="A31" s="425"/>
      <c r="B31" s="151" t="s">
        <v>70</v>
      </c>
      <c r="C31" s="150">
        <v>4.63</v>
      </c>
      <c r="D31" s="77">
        <v>3.9</v>
      </c>
      <c r="E31" s="423"/>
      <c r="F31" s="78">
        <f>ABS(C31-E30)/C31</f>
        <v>7.3045356371490282</v>
      </c>
      <c r="G31" s="79">
        <f>D31*L28</f>
        <v>1950</v>
      </c>
      <c r="H31" s="411"/>
      <c r="I31" s="494"/>
      <c r="J31" s="494"/>
      <c r="K31" s="161" t="e">
        <f>RTD("tryd.rtdserver",,"COT",A30,"DiasExpir")</f>
        <v>#N/A</v>
      </c>
      <c r="L31" s="161" t="e">
        <f>RTD("tryd.rtdserver",,"COT",A30,"DiaUtExp")</f>
        <v>#N/A</v>
      </c>
    </row>
    <row r="32" spans="1:16" ht="21.75" customHeight="1" x14ac:dyDescent="0.25">
      <c r="A32"/>
      <c r="B32"/>
      <c r="C32" s="153" t="s">
        <v>52</v>
      </c>
      <c r="D32" s="149">
        <v>4</v>
      </c>
      <c r="E32" s="391">
        <f>(D32*L28)+G30</f>
        <v>1545</v>
      </c>
      <c r="F32"/>
      <c r="G32" s="389">
        <f>G30+G31</f>
        <v>1495</v>
      </c>
      <c r="H32" s="153" t="s">
        <v>94</v>
      </c>
      <c r="I32"/>
      <c r="J32"/>
      <c r="K32"/>
      <c r="L32"/>
    </row>
    <row r="33" spans="1:13" ht="21.75" customHeight="1" x14ac:dyDescent="0.25">
      <c r="A33"/>
      <c r="B33"/>
      <c r="C33"/>
      <c r="D33"/>
      <c r="E33" s="392"/>
      <c r="F33"/>
      <c r="G33" s="390"/>
      <c r="H33" s="164">
        <f>E30+D30</f>
        <v>39.36</v>
      </c>
      <c r="I33"/>
      <c r="J33"/>
      <c r="K33"/>
      <c r="L33"/>
    </row>
    <row r="34" spans="1:13" ht="21.75" customHeight="1" x14ac:dyDescent="0.25">
      <c r="A34"/>
      <c r="B34"/>
      <c r="C34"/>
      <c r="D34"/>
      <c r="E34"/>
      <c r="F34"/>
      <c r="G34"/>
      <c r="H34"/>
      <c r="I34"/>
      <c r="J34"/>
      <c r="K34"/>
      <c r="L34"/>
    </row>
    <row r="35" spans="1:13" ht="21.75" customHeight="1" x14ac:dyDescent="0.25">
      <c r="A35" s="414" t="s">
        <v>72</v>
      </c>
      <c r="B35" s="415"/>
      <c r="C35" s="415"/>
      <c r="D35" s="415"/>
      <c r="E35" s="415"/>
      <c r="F35" s="415"/>
      <c r="G35" s="415"/>
      <c r="H35" s="416"/>
      <c r="I35" s="153" t="s">
        <v>100</v>
      </c>
      <c r="J35" s="153" t="s">
        <v>91</v>
      </c>
      <c r="K35"/>
      <c r="L35"/>
    </row>
    <row r="36" spans="1:13" ht="21.75" customHeight="1" x14ac:dyDescent="0.25">
      <c r="A36" s="417" t="s">
        <v>74</v>
      </c>
      <c r="B36" s="418"/>
      <c r="C36" s="419"/>
      <c r="D36" s="412" t="s">
        <v>101</v>
      </c>
      <c r="E36" s="413"/>
      <c r="F36" s="412" t="s">
        <v>54</v>
      </c>
      <c r="G36" s="413"/>
      <c r="H36" s="153" t="s">
        <v>52</v>
      </c>
      <c r="I36" s="79">
        <f>L28*D32</f>
        <v>2000</v>
      </c>
      <c r="J36" s="79">
        <f>G31-I36</f>
        <v>-50</v>
      </c>
      <c r="K36"/>
      <c r="L36"/>
    </row>
    <row r="37" spans="1:13" ht="21.75" customHeight="1" x14ac:dyDescent="0.25">
      <c r="A37" s="81">
        <v>45359</v>
      </c>
      <c r="B37" s="79">
        <f>G30</f>
        <v>-455</v>
      </c>
      <c r="C37" s="82">
        <f>ABS(G32/B37)</f>
        <v>3.2857142857142856</v>
      </c>
      <c r="D37" s="79">
        <f>G32</f>
        <v>1495</v>
      </c>
      <c r="E37" s="83">
        <f>C39</f>
        <v>-3.2857142857142856</v>
      </c>
      <c r="F37" s="408">
        <f>G32</f>
        <v>1495</v>
      </c>
      <c r="G37" s="410">
        <f>IF((F37/(B37*-1))&lt;= 0,0,(F37/(B37*-1)))</f>
        <v>3.2857142857142856</v>
      </c>
      <c r="H37" s="154">
        <f>D32/D30</f>
        <v>4.3956043956043951</v>
      </c>
      <c r="I37" s="139"/>
      <c r="J37"/>
      <c r="K37"/>
      <c r="L37" t="s">
        <v>29</v>
      </c>
    </row>
    <row r="38" spans="1:13" ht="21.75" customHeight="1" x14ac:dyDescent="0.25">
      <c r="A38"/>
      <c r="B38"/>
      <c r="C38"/>
      <c r="D38"/>
      <c r="E38"/>
      <c r="F38" s="409"/>
      <c r="G38" s="411"/>
      <c r="H38" s="155">
        <f>ABS(G30)*H37</f>
        <v>1999.9999999999998</v>
      </c>
      <c r="I38" s="7"/>
      <c r="J38" s="141"/>
      <c r="K38"/>
      <c r="L38"/>
    </row>
    <row r="39" spans="1:13" ht="21.75" customHeight="1" x14ac:dyDescent="0.25">
      <c r="A39" s="146" t="s">
        <v>89</v>
      </c>
      <c r="B39" s="165">
        <f>G32</f>
        <v>1495</v>
      </c>
      <c r="C39" s="82">
        <f>B39/G30</f>
        <v>-3.2857142857142856</v>
      </c>
      <c r="D39"/>
      <c r="E39"/>
      <c r="F39"/>
      <c r="G39"/>
      <c r="H39"/>
      <c r="I39" s="7"/>
      <c r="J39" s="141"/>
      <c r="K39"/>
      <c r="L39"/>
    </row>
    <row r="41" spans="1:13" ht="21.75" customHeight="1" x14ac:dyDescent="0.2">
      <c r="A41" s="113"/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</row>
    <row r="43" spans="1:13" ht="21.75" customHeight="1" x14ac:dyDescent="0.2">
      <c r="B43" s="259" t="s">
        <v>157</v>
      </c>
      <c r="C43" s="259" t="s">
        <v>158</v>
      </c>
      <c r="D43" s="259" t="s">
        <v>159</v>
      </c>
      <c r="E43" s="259" t="s">
        <v>145</v>
      </c>
      <c r="F43" s="260" t="s">
        <v>23</v>
      </c>
    </row>
    <row r="44" spans="1:13" ht="21.75" customHeight="1" x14ac:dyDescent="0.2">
      <c r="B44" s="105">
        <v>700000</v>
      </c>
      <c r="C44" s="105">
        <v>1000</v>
      </c>
      <c r="D44" s="168">
        <v>0.03</v>
      </c>
      <c r="E44" s="169">
        <f>LOG((B44*D44/C44)+1)/LOG(1+D44)</f>
        <v>104.57265582344553</v>
      </c>
      <c r="F44" s="169">
        <f>E44/12</f>
        <v>8.7143879852871269</v>
      </c>
    </row>
  </sheetData>
  <mergeCells count="39">
    <mergeCell ref="E6:E7"/>
    <mergeCell ref="H6:H7"/>
    <mergeCell ref="I6:I7"/>
    <mergeCell ref="J6:J7"/>
    <mergeCell ref="K6:K7"/>
    <mergeCell ref="F24:G24"/>
    <mergeCell ref="I21:I22"/>
    <mergeCell ref="K21:K22"/>
    <mergeCell ref="D36:E36"/>
    <mergeCell ref="F36:G36"/>
    <mergeCell ref="M21:M22"/>
    <mergeCell ref="B19:I19"/>
    <mergeCell ref="A23:C23"/>
    <mergeCell ref="F23:G23"/>
    <mergeCell ref="A2:M2"/>
    <mergeCell ref="C21:C22"/>
    <mergeCell ref="L21:L22"/>
    <mergeCell ref="L6:L7"/>
    <mergeCell ref="B8:C8"/>
    <mergeCell ref="E8:F8"/>
    <mergeCell ref="E9:E10"/>
    <mergeCell ref="F9:F10"/>
    <mergeCell ref="G9:G10"/>
    <mergeCell ref="I9:J9"/>
    <mergeCell ref="I10:I11"/>
    <mergeCell ref="J10:J11"/>
    <mergeCell ref="F37:F38"/>
    <mergeCell ref="G37:G38"/>
    <mergeCell ref="B28:H28"/>
    <mergeCell ref="K29:L29"/>
    <mergeCell ref="H30:H31"/>
    <mergeCell ref="I30:I31"/>
    <mergeCell ref="J30:J31"/>
    <mergeCell ref="A35:H35"/>
    <mergeCell ref="G32:G33"/>
    <mergeCell ref="A30:A31"/>
    <mergeCell ref="E30:E31"/>
    <mergeCell ref="E32:E33"/>
    <mergeCell ref="A36:C36"/>
  </mergeCells>
  <conditionalFormatting sqref="H30">
    <cfRule type="cellIs" dxfId="71" priority="131" operator="lessThan">
      <formula>0</formula>
    </cfRule>
    <cfRule type="cellIs" dxfId="70" priority="132" operator="greaterThanOrEqual">
      <formula>0</formula>
    </cfRule>
  </conditionalFormatting>
  <conditionalFormatting sqref="G32">
    <cfRule type="cellIs" dxfId="69" priority="129" operator="lessThan">
      <formula>0</formula>
    </cfRule>
    <cfRule type="cellIs" dxfId="68" priority="130" operator="greaterThanOrEqual">
      <formula>0</formula>
    </cfRule>
  </conditionalFormatting>
  <conditionalFormatting sqref="F37">
    <cfRule type="cellIs" dxfId="67" priority="127" operator="lessThan">
      <formula>0</formula>
    </cfRule>
    <cfRule type="cellIs" dxfId="66" priority="128" operator="greaterThanOrEqual">
      <formula>0</formula>
    </cfRule>
  </conditionalFormatting>
  <conditionalFormatting sqref="H33">
    <cfRule type="cellIs" dxfId="65" priority="125" operator="lessThan">
      <formula>0</formula>
    </cfRule>
    <cfRule type="cellIs" dxfId="64" priority="126" operator="greaterThanOrEqual">
      <formula>0</formula>
    </cfRule>
  </conditionalFormatting>
  <conditionalFormatting sqref="G37">
    <cfRule type="cellIs" dxfId="63" priority="123" operator="lessThan">
      <formula>0</formula>
    </cfRule>
    <cfRule type="cellIs" dxfId="62" priority="124" operator="greaterThanOrEqual">
      <formula>0</formula>
    </cfRule>
  </conditionalFormatting>
  <conditionalFormatting sqref="I30:J30">
    <cfRule type="cellIs" dxfId="61" priority="121" operator="greaterThan">
      <formula>0</formula>
    </cfRule>
    <cfRule type="cellIs" dxfId="60" priority="122" operator="lessThan">
      <formula>0</formula>
    </cfRule>
  </conditionalFormatting>
  <conditionalFormatting sqref="J10">
    <cfRule type="cellIs" dxfId="59" priority="38" operator="greaterThan">
      <formula>0</formula>
    </cfRule>
    <cfRule type="cellIs" dxfId="58" priority="39" operator="lessThan">
      <formula>0</formula>
    </cfRule>
  </conditionalFormatting>
  <conditionalFormatting sqref="I10">
    <cfRule type="cellIs" dxfId="57" priority="36" operator="greaterThan">
      <formula>0</formula>
    </cfRule>
    <cfRule type="cellIs" dxfId="56" priority="37" operator="lessThan">
      <formula>0</formula>
    </cfRule>
  </conditionalFormatting>
  <conditionalFormatting sqref="E6">
    <cfRule type="expression" dxfId="55" priority="32">
      <formula>E6&gt;C7</formula>
    </cfRule>
    <cfRule type="expression" dxfId="54" priority="33">
      <formula>E6&lt;=C7</formula>
    </cfRule>
  </conditionalFormatting>
  <conditionalFormatting sqref="I6">
    <cfRule type="cellIs" dxfId="53" priority="30" operator="greaterThan">
      <formula>0</formula>
    </cfRule>
    <cfRule type="cellIs" dxfId="52" priority="31" operator="lessThan">
      <formula>0</formula>
    </cfRule>
  </conditionalFormatting>
  <conditionalFormatting sqref="F6:F7">
    <cfRule type="cellIs" dxfId="51" priority="28" operator="greaterThan">
      <formula>0</formula>
    </cfRule>
    <cfRule type="cellIs" dxfId="50" priority="29" operator="lessThan">
      <formula>0</formula>
    </cfRule>
  </conditionalFormatting>
  <conditionalFormatting sqref="C6:D7">
    <cfRule type="cellIs" dxfId="49" priority="26" operator="greaterThan">
      <formula>0</formula>
    </cfRule>
    <cfRule type="cellIs" dxfId="48" priority="27" operator="lessThan">
      <formula>0</formula>
    </cfRule>
  </conditionalFormatting>
  <conditionalFormatting sqref="G6:G8">
    <cfRule type="cellIs" dxfId="47" priority="34" operator="greaterThan">
      <formula>0</formula>
    </cfRule>
    <cfRule type="cellIs" dxfId="46" priority="35" operator="lessThan">
      <formula>0</formula>
    </cfRule>
  </conditionalFormatting>
  <conditionalFormatting sqref="G9">
    <cfRule type="cellIs" dxfId="45" priority="24" operator="greaterThan">
      <formula>0</formula>
    </cfRule>
    <cfRule type="cellIs" dxfId="44" priority="25" operator="lessThan">
      <formula>0</formula>
    </cfRule>
  </conditionalFormatting>
  <conditionalFormatting sqref="B21">
    <cfRule type="expression" dxfId="43" priority="13371">
      <formula>$D21:$D44="CALL"</formula>
    </cfRule>
    <cfRule type="expression" dxfId="42" priority="13372">
      <formula>$D21:$D44="PUT"</formula>
    </cfRule>
  </conditionalFormatting>
  <conditionalFormatting sqref="E30:E31">
    <cfRule type="cellIs" dxfId="41" priority="13373" operator="greaterThanOrEqual">
      <formula>#REF!</formula>
    </cfRule>
    <cfRule type="cellIs" dxfId="40" priority="13374" operator="lessThan">
      <formula>#REF!</formula>
    </cfRule>
  </conditionalFormatting>
  <conditionalFormatting sqref="B22">
    <cfRule type="expression" dxfId="39" priority="13399">
      <formula>$D22:$D44="CALL"</formula>
    </cfRule>
    <cfRule type="expression" dxfId="38" priority="13400">
      <formula>$D22:$D44="PUT"</formula>
    </cfRule>
  </conditionalFormatting>
  <conditionalFormatting sqref="C21">
    <cfRule type="expression" dxfId="37" priority="13401">
      <formula>$C23:$C56="PUT"</formula>
    </cfRule>
    <cfRule type="expression" dxfId="36" priority="13402">
      <formula>$C23:$C56="CALL"</formula>
    </cfRule>
  </conditionalFormatting>
  <conditionalFormatting sqref="L6">
    <cfRule type="containsText" dxfId="35" priority="13403" operator="containsText" text="SIM">
      <formula>NOT(ISERROR(SEARCH("SIM",L6)))</formula>
    </cfRule>
    <cfRule type="containsText" dxfId="34" priority="13404" operator="containsText" text="NÃO">
      <formula>NOT(ISERROR(SEARCH("NÃO",L6)))</formula>
    </cfRule>
    <cfRule type="expression" dxfId="33" priority="13405">
      <formula>$D4:$D918="E-CALL"</formula>
    </cfRule>
    <cfRule type="expression" dxfId="32" priority="13406">
      <formula>$D4:$D76="PUT"</formula>
    </cfRule>
    <cfRule type="expression" dxfId="31" priority="13407">
      <formula>$D4:$D76="CALL"</formula>
    </cfRule>
  </conditionalFormatting>
  <conditionalFormatting sqref="F13:G13 J13 L13">
    <cfRule type="cellIs" dxfId="30" priority="8" operator="greaterThan">
      <formula>0</formula>
    </cfRule>
  </conditionalFormatting>
  <conditionalFormatting sqref="E13">
    <cfRule type="expression" dxfId="29" priority="5">
      <formula>E13&gt;C13</formula>
    </cfRule>
    <cfRule type="expression" dxfId="28" priority="6">
      <formula>E13&lt;=C13</formula>
    </cfRule>
  </conditionalFormatting>
  <conditionalFormatting sqref="F13">
    <cfRule type="cellIs" dxfId="27" priority="3" operator="greaterThan">
      <formula>0</formula>
    </cfRule>
    <cfRule type="cellIs" dxfId="26" priority="4" operator="lessThan">
      <formula>0</formula>
    </cfRule>
  </conditionalFormatting>
  <conditionalFormatting sqref="C13:D13">
    <cfRule type="cellIs" dxfId="25" priority="1" operator="greaterThan">
      <formula>0</formula>
    </cfRule>
    <cfRule type="cellIs" dxfId="24" priority="2" operator="lessThan">
      <formula>0</formula>
    </cfRule>
  </conditionalFormatting>
  <conditionalFormatting sqref="L13 J13">
    <cfRule type="cellIs" dxfId="23" priority="7" operator="lessThan">
      <formula>0</formula>
    </cfRule>
  </conditionalFormatting>
  <conditionalFormatting sqref="O13">
    <cfRule type="containsText" dxfId="22" priority="9" operator="containsText" text="SIM">
      <formula>NOT(ISERROR(SEARCH("SIM",O13)))</formula>
    </cfRule>
    <cfRule type="containsText" dxfId="21" priority="10" operator="containsText" text="NÃO">
      <formula>NOT(ISERROR(SEARCH("NÃO",O13)))</formula>
    </cfRule>
    <cfRule type="expression" dxfId="20" priority="11">
      <formula>$D2:$D971="E-CALL"</formula>
    </cfRule>
    <cfRule type="expression" dxfId="19" priority="12">
      <formula>$D2:$D129="PUT"</formula>
    </cfRule>
    <cfRule type="expression" dxfId="18" priority="13">
      <formula>$D2:$D129="CALL"</formula>
    </cfRule>
  </conditionalFormatting>
  <dataValidations count="3">
    <dataValidation type="list" allowBlank="1" sqref="C20:C21" xr:uid="{00000000-0002-0000-0500-000000000000}">
      <formula1>"PUT,CALL,E-PUT,E-CALL"</formula1>
    </dataValidation>
    <dataValidation type="list" allowBlank="1" showInputMessage="1" showErrorMessage="1" sqref="B20:B21 A6" xr:uid="{00000000-0002-0000-0500-000001000000}">
      <formula1>"Compra,Venda"</formula1>
    </dataValidation>
    <dataValidation type="list" allowBlank="1" showInputMessage="1" showErrorMessage="1" sqref="A4" xr:uid="{00000000-0002-0000-0500-000002000000}">
      <formula1>ListaTickers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roll Bar 1">
              <controlPr defaultSize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tualizarCotacoes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1390650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D26D2-D169-44FF-A890-8438A9F184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Resultados</vt:lpstr>
      <vt:lpstr>0126</vt:lpstr>
      <vt:lpstr>BTC</vt:lpstr>
      <vt:lpstr>Call Longa</vt:lpstr>
      <vt:lpstr>0225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Marisvaldo Carrijo</dc:creator>
  <cp:keywords/>
  <dc:description/>
  <cp:lastModifiedBy>Marisvaldo Goncalves Carrijo</cp:lastModifiedBy>
  <cp:revision/>
  <cp:lastPrinted>2025-08-18T12:33:37Z</cp:lastPrinted>
  <dcterms:created xsi:type="dcterms:W3CDTF">2023-01-11T14:57:30Z</dcterms:created>
  <dcterms:modified xsi:type="dcterms:W3CDTF">2026-07-28T11:44:37Z</dcterms:modified>
  <cp:category/>
  <cp:contentStatus/>
</cp:coreProperties>
</file>